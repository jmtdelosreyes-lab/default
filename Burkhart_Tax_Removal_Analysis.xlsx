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ecutive Summary" sheetId="2" state="visible" r:id="rId2"/>
    <sheet name="Detail" sheetId="3" state="visible" r:id="rId3"/>
    <sheet name="Period Status" sheetId="4" state="visible" r:id="rId4"/>
    <sheet name="Tier Definitions" sheetId="5" state="visible" r:id="rId5"/>
  </sheets>
  <definedNames>
    <definedName name="_xlnm._FilterDatabase" localSheetId="2" hidden="1">'Detail'!$A$1:$R$111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#,##0.00;[Red]-#,##0.00"/>
  </numFmts>
  <fonts count="9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  <sz val="11"/>
    </font>
    <font>
      <b val="1"/>
      <sz val="14"/>
    </font>
    <font>
      <i val="1"/>
      <sz val="10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166" fontId="8" fillId="0" borderId="0" pivotButton="0" quotePrefix="0" xfId="0"/>
    <xf numFmtId="4" fontId="0" fillId="0" borderId="0" pivotButton="0" quotePrefix="0" xfId="0"/>
    <xf numFmtId="4" fontId="8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CD5B4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Burkhart Dental Supply – AR Tax Removal Analysis</t>
        </is>
      </c>
    </row>
    <row r="2">
      <c r="A2" s="2" t="inlineStr"/>
    </row>
    <row r="3">
      <c r="A3" s="2" t="inlineStr">
        <is>
          <t>Date prepared: June 19, 2026</t>
        </is>
      </c>
    </row>
    <row r="4">
      <c r="A4" s="2" t="inlineStr">
        <is>
          <t>Source file: 2026_06_19_AR_Aging.xlsx (sheet AROpenStatusReportResults)</t>
        </is>
      </c>
    </row>
    <row r="5">
      <c r="A5" s="2" t="inlineStr">
        <is>
          <t>Data refreshed from NetSuite at time of preparation.</t>
        </is>
      </c>
    </row>
    <row r="6">
      <c r="A6" s="2" t="inlineStr"/>
    </row>
    <row r="7">
      <c r="A7" s="3" t="inlineStr">
        <is>
          <t>PURPOSE</t>
        </is>
      </c>
    </row>
    <row r="8">
      <c r="A8" s="2" t="inlineStr">
        <is>
          <t>Cross-reference the AR aging items flagged by Accounting for sales-tax</t>
        </is>
      </c>
    </row>
    <row r="9">
      <c r="A9" s="2" t="inlineStr">
        <is>
          <t>removal against current NetSuite invoice/tax/payment data, classify by</t>
        </is>
      </c>
    </row>
    <row r="10">
      <c r="A10" s="2" t="inlineStr">
        <is>
          <t>tier of treatment, and check accounting-period status to determine which</t>
        </is>
      </c>
    </row>
    <row r="11">
      <c r="A11" s="2" t="inlineStr">
        <is>
          <t>can be edited directly versus which require period unlock or alternate method.</t>
        </is>
      </c>
    </row>
    <row r="12">
      <c r="A12" s="2" t="inlineStr"/>
    </row>
    <row r="13">
      <c r="A13" s="3" t="inlineStr">
        <is>
          <t>SHEET INDEX</t>
        </is>
      </c>
    </row>
    <row r="14">
      <c r="A14" s="2" t="inlineStr">
        <is>
          <t xml:space="preserve">  1. README                  – this sheet</t>
        </is>
      </c>
    </row>
    <row r="15">
      <c r="A15" s="2" t="inlineStr">
        <is>
          <t xml:space="preserve">  2. Executive Summary       – tier counts/amounts, period status, recommendations (formula-driven)</t>
        </is>
      </c>
    </row>
    <row r="16">
      <c r="A16" s="2" t="inlineStr">
        <is>
          <t xml:space="preserve">  3. Detail                  – full transaction list with tier and feasibility (formula-driven)</t>
        </is>
      </c>
    </row>
    <row r="17">
      <c r="A17" s="2" t="inlineStr">
        <is>
          <t xml:space="preserve">  4. Period Status           – NetSuite accounting period close/lock state (lookup source)</t>
        </is>
      </c>
    </row>
    <row r="18">
      <c r="A18" s="2" t="inlineStr">
        <is>
          <t xml:space="preserve">  5. Tier Definitions        – mapping of source notes to tier classifications</t>
        </is>
      </c>
    </row>
    <row r="19">
      <c r="A19" s="2" t="inlineStr"/>
    </row>
    <row r="20">
      <c r="A20" s="3" t="inlineStr">
        <is>
          <t>KEY DEFINITIONS</t>
        </is>
      </c>
    </row>
    <row r="21">
      <c r="A21" s="2" t="inlineStr">
        <is>
          <t xml:space="preserve">  Tier T1 (Clean Removal)  – Unpaid balance exactly equals sales tax. Removing tax zeroes the invoice.</t>
        </is>
      </c>
    </row>
    <row r="22">
      <c r="A22" s="2" t="inlineStr">
        <is>
          <t xml:space="preserve">  Tier T2 (Full Unpaid)    – Invoice fully unpaid, sales tax present. Awaiting payment direction.</t>
        </is>
      </c>
    </row>
    <row r="23">
      <c r="A23" s="2" t="inlineStr">
        <is>
          <t xml:space="preserve">  Tier T3 (Mismatch)       – Partial payment exists, unpaid ≠ tax. Requires manual investigation.</t>
        </is>
      </c>
    </row>
    <row r="24">
      <c r="A24" s="2" t="inlineStr">
        <is>
          <t xml:space="preserve">  Tier T0 (No Tax)         – No sales tax on invoice. Tax removal is not applicable.</t>
        </is>
      </c>
    </row>
    <row r="25">
      <c r="A25" s="2" t="inlineStr">
        <is>
          <t xml:space="preserve">  CM (Credit Memo)         – Not a tax-removal candidate; pending application or recently issued.</t>
        </is>
      </c>
    </row>
    <row r="26">
      <c r="A26" s="2" t="inlineStr"/>
    </row>
    <row r="27">
      <c r="A27" s="3" t="inlineStr">
        <is>
          <t>FEASIBILITY FLAGS</t>
        </is>
      </c>
    </row>
    <row r="28">
      <c r="A28" s="2" t="inlineStr">
        <is>
          <t xml:space="preserve">  OK            – Period is open and AR is not locked. Direct edit possible.</t>
        </is>
      </c>
    </row>
    <row r="29">
      <c r="A29" s="2" t="inlineStr">
        <is>
          <t xml:space="preserve">  AR LOCKED     – Period not closed but AR sublocked. Requires AR unlock.</t>
        </is>
      </c>
    </row>
    <row r="30">
      <c r="A30" s="2" t="inlineStr">
        <is>
          <t xml:space="preserve">  CLOSED+LOCKED – Period closed and AR locked. Requires period reopen + AR unlock.</t>
        </is>
      </c>
    </row>
    <row r="31">
      <c r="A31" s="2" t="inlineStr"/>
    </row>
    <row r="32">
      <c r="A32" s="3" t="inlineStr">
        <is>
          <t>NOTES ON FORMULAS</t>
        </is>
      </c>
    </row>
    <row r="33">
      <c r="A33" s="2" t="inlineStr">
        <is>
          <t xml:space="preserve">  Columns in the Detail sheet labeled (FORMULA) are computed from raw NetSuite data.</t>
        </is>
      </c>
    </row>
    <row r="34">
      <c r="A34" s="2" t="inlineStr">
        <is>
          <t xml:space="preserve">  Executive Summary tier counts and amounts are computed via COUNTIFS/SUMIFS against Detail.</t>
        </is>
      </c>
    </row>
    <row r="35">
      <c r="A35" s="2" t="inlineStr">
        <is>
          <t xml:space="preserve">  Period Status column uses VLOOKUP against the Period Status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50" customWidth="1" min="7" max="7"/>
  </cols>
  <sheetData>
    <row r="1">
      <c r="A1" s="4" t="inlineStr">
        <is>
          <t>Burkhart Dental Supply – AR Tax Removal Analysis (Executive Summary)</t>
        </is>
      </c>
    </row>
    <row r="2">
      <c r="A2" s="5" t="inlineStr">
        <is>
          <t>Prepared June 19, 2026 from 2026_06_19_AR_Aging.xlsx + live NetSuite data</t>
        </is>
      </c>
    </row>
    <row r="4">
      <c r="A4" s="3" t="inlineStr">
        <is>
          <t>CUSTOMERS IN SCOPE</t>
        </is>
      </c>
    </row>
    <row r="5">
      <c r="A5" s="6" t="inlineStr">
        <is>
          <t>Customer Entity ID</t>
        </is>
      </c>
      <c r="B5" s="6" t="inlineStr">
        <is>
          <t>Customer Name</t>
        </is>
      </c>
      <c r="C5" s="6" t="inlineStr">
        <is>
          <t>NetSuite Internal ID</t>
        </is>
      </c>
      <c r="D5" s="6" t="inlineStr">
        <is>
          <t>Currently Taxable in NS</t>
        </is>
      </c>
      <c r="E5" s="6" t="inlineStr">
        <is>
          <t>Notes</t>
        </is>
      </c>
    </row>
    <row r="6">
      <c r="A6" t="inlineStr">
        <is>
          <t>314</t>
        </is>
      </c>
      <c r="B6" t="inlineStr">
        <is>
          <t>Burkhart Dental Supply Company (parent)</t>
        </is>
      </c>
      <c r="C6" t="n">
        <v>921</v>
      </c>
      <c r="D6" t="inlineStr">
        <is>
          <t>No (taxable=F)</t>
        </is>
      </c>
      <c r="E6" t="inlineStr">
        <is>
          <t>Parent record; majority of invoices already have no tax line.</t>
        </is>
      </c>
    </row>
    <row r="7">
      <c r="A7" t="inlineStr">
        <is>
          <t>1727</t>
        </is>
      </c>
      <c r="B7" t="inlineStr">
        <is>
          <t>Heath Hollis (child of Burkhart 314)</t>
        </is>
      </c>
      <c r="C7" t="n">
        <v>2314</v>
      </c>
      <c r="D7" t="inlineStr">
        <is>
          <t>Yes (taxable=T)</t>
        </is>
      </c>
      <c r="E7" t="inlineStr">
        <is>
          <t>Needs taxable flag updated + exemption certificate attached before edits.</t>
        </is>
      </c>
    </row>
    <row r="9">
      <c r="A9" s="3" t="inlineStr">
        <is>
          <t>TIER BREAKDOWN (formula-driven from Detail sheet)</t>
        </is>
      </c>
    </row>
    <row r="10">
      <c r="A10" s="6" t="inlineStr">
        <is>
          <t>Tier</t>
        </is>
      </c>
      <c r="B10" s="6" t="inlineStr">
        <is>
          <t>Count</t>
        </is>
      </c>
      <c r="C10" s="6" t="inlineStr">
        <is>
          <t>Sum Original Amount</t>
        </is>
      </c>
      <c r="D10" s="6" t="inlineStr">
        <is>
          <t>Sum Amount Remaining</t>
        </is>
      </c>
      <c r="E10" s="6" t="inlineStr">
        <is>
          <t>Sum Sales Tax</t>
        </is>
      </c>
      <c r="F10" s="6" t="inlineStr">
        <is>
          <t>Tax Removal Status</t>
        </is>
      </c>
      <c r="G10" s="6" t="inlineStr">
        <is>
          <t>Notes</t>
        </is>
      </c>
    </row>
    <row r="11">
      <c r="A11" t="inlineStr">
        <is>
          <t>T1_Clean</t>
        </is>
      </c>
      <c r="B11">
        <f>COUNTIF(Detail!O:O,"T1_Clean")</f>
        <v/>
      </c>
      <c r="C11" s="7">
        <f>SUMIF(Detail!O:O,"T1_Clean",Detail!J:J)</f>
        <v/>
      </c>
      <c r="D11" s="7">
        <f>SUMIF(Detail!O:O,"T1_Clean",Detail!K:K)</f>
        <v/>
      </c>
      <c r="E11" s="7">
        <f>SUMIF(Detail!O:O,"T1_Clean",Detail!M:M)</f>
        <v/>
      </c>
      <c r="F11" t="inlineStr">
        <is>
          <t>Applicable — direct</t>
        </is>
      </c>
      <c r="G11" s="8" t="inlineStr">
        <is>
          <t>Removing tax zeroes the balance. 55 invoices total. Most blocked by period lock (see below).</t>
        </is>
      </c>
    </row>
    <row r="12">
      <c r="A12" t="inlineStr">
        <is>
          <t>T2_FullUnpaid</t>
        </is>
      </c>
      <c r="B12">
        <f>COUNTIF(Detail!O:O,"T2_FullUnpaid")</f>
        <v/>
      </c>
      <c r="C12" s="7">
        <f>SUMIF(Detail!O:O,"T2_FullUnpaid",Detail!J:J)</f>
        <v/>
      </c>
      <c r="D12" s="7">
        <f>SUMIF(Detail!O:O,"T2_FullUnpaid",Detail!K:K)</f>
        <v/>
      </c>
      <c r="E12" s="7">
        <f>SUMIF(Detail!O:O,"T2_FullUnpaid",Detail!M:M)</f>
        <v/>
      </c>
      <c r="F12" t="inlineStr">
        <is>
          <t>Pending decision</t>
        </is>
      </c>
      <c r="G12" s="8" t="inlineStr">
        <is>
          <t>Tax present but no payment yet. Accounting must decide remove-now-vs-wait.</t>
        </is>
      </c>
    </row>
    <row r="13">
      <c r="A13" t="inlineStr">
        <is>
          <t>T3_Mismatch</t>
        </is>
      </c>
      <c r="B13">
        <f>COUNTIF(Detail!O:O,"T3_Mismatch")</f>
        <v/>
      </c>
      <c r="C13" s="7">
        <f>SUMIF(Detail!O:O,"T3_Mismatch",Detail!J:J)</f>
        <v/>
      </c>
      <c r="D13" s="7">
        <f>SUMIF(Detail!O:O,"T3_Mismatch",Detail!K:K)</f>
        <v/>
      </c>
      <c r="E13" s="7">
        <f>SUMIF(Detail!O:O,"T3_Mismatch",Detail!M:M)</f>
        <v/>
      </c>
      <c r="F13" t="inlineStr">
        <is>
          <t>Investigate</t>
        </is>
      </c>
      <c r="G13" s="8" t="inlineStr">
        <is>
          <t>Unpaid ≠ tax with payments made. Manual NS review per invoice.</t>
        </is>
      </c>
    </row>
    <row r="14">
      <c r="A14" t="inlineStr">
        <is>
          <t>T0_NoTax</t>
        </is>
      </c>
      <c r="B14">
        <f>COUNTIF(Detail!O:O,"T0_NoTax")</f>
        <v/>
      </c>
      <c r="C14" s="7">
        <f>SUMIF(Detail!O:O,"T0_NoTax",Detail!J:J)</f>
        <v/>
      </c>
      <c r="D14" s="7">
        <f>SUMIF(Detail!O:O,"T0_NoTax",Detail!K:K)</f>
        <v/>
      </c>
      <c r="E14" s="7">
        <f>SUMIF(Detail!O:O,"T0_NoTax",Detail!M:M)</f>
        <v/>
      </c>
      <c r="F14" t="inlineStr">
        <is>
          <t>Not applicable</t>
        </is>
      </c>
      <c r="G14" s="8" t="inlineStr">
        <is>
          <t>No tax to remove — flag back as different issue.</t>
        </is>
      </c>
    </row>
    <row r="15">
      <c r="A15" t="inlineStr">
        <is>
          <t>CM_Pending</t>
        </is>
      </c>
      <c r="B15">
        <f>COUNTIF(Detail!O:O,"CM_Pending")</f>
        <v/>
      </c>
      <c r="C15" s="7">
        <f>SUMIF(Detail!O:O,"CM_Pending",Detail!J:J)</f>
        <v/>
      </c>
      <c r="D15" s="7">
        <f>SUMIF(Detail!O:O,"CM_Pending",Detail!K:K)</f>
        <v/>
      </c>
      <c r="E15" s="7">
        <f>SUMIF(Detail!O:O,"CM_Pending",Detail!M:M)</f>
        <v/>
      </c>
      <c r="F15" t="inlineStr">
        <is>
          <t>N/A (credit memo)</t>
        </is>
      </c>
      <c r="G15" s="8" t="inlineStr">
        <is>
          <t>Apply per accounting team instruction.</t>
        </is>
      </c>
    </row>
    <row r="16">
      <c r="A16" t="inlineStr">
        <is>
          <t>CM_Recent</t>
        </is>
      </c>
      <c r="B16">
        <f>COUNTIF(Detail!O:O,"CM_Recent")</f>
        <v/>
      </c>
      <c r="C16" s="7">
        <f>SUMIF(Detail!O:O,"CM_Recent",Detail!J:J)</f>
        <v/>
      </c>
      <c r="D16" s="7">
        <f>SUMIF(Detail!O:O,"CM_Recent",Detail!K:K)</f>
        <v/>
      </c>
      <c r="E16" s="7">
        <f>SUMIF(Detail!O:O,"CM_Recent",Detail!M:M)</f>
        <v/>
      </c>
      <c r="F16" t="inlineStr">
        <is>
          <t>N/A (credit memo)</t>
        </is>
      </c>
      <c r="G16" s="8" t="inlineStr">
        <is>
          <t>Informational only.</t>
        </is>
      </c>
    </row>
    <row r="17">
      <c r="A17" s="9" t="inlineStr">
        <is>
          <t>TOTAL</t>
        </is>
      </c>
      <c r="B17" s="9">
        <f>SUM(B11:B16)</f>
        <v/>
      </c>
      <c r="C17" s="10">
        <f>SUM(C11:C16)</f>
        <v/>
      </c>
      <c r="D17" s="10">
        <f>SUM(D11:D16)</f>
        <v/>
      </c>
      <c r="E17" s="10">
        <f>SUM(E11:E16)</f>
        <v/>
      </c>
    </row>
    <row r="19">
      <c r="A19" s="3" t="inlineStr">
        <is>
          <t>TIER × PERIOD FEASIBILITY (counts and sales-tax sums)</t>
        </is>
      </c>
    </row>
    <row r="20">
      <c r="A20" s="6" t="inlineStr">
        <is>
          <t>Period Feasibility</t>
        </is>
      </c>
      <c r="B20" s="6" t="inlineStr">
        <is>
          <t>T1_Clean Count</t>
        </is>
      </c>
      <c r="C20" s="6" t="inlineStr">
        <is>
          <t>T1_Clean Tax $</t>
        </is>
      </c>
      <c r="D20" s="6" t="inlineStr">
        <is>
          <t>T2_FullUnpaid Count</t>
        </is>
      </c>
      <c r="E20" s="6" t="inlineStr">
        <is>
          <t>T2 Tax $</t>
        </is>
      </c>
      <c r="F20" s="6" t="inlineStr">
        <is>
          <t>T3_Mismatch Count</t>
        </is>
      </c>
      <c r="G20" s="6" t="inlineStr">
        <is>
          <t>T0_NoTax Count</t>
        </is>
      </c>
    </row>
    <row r="21">
      <c r="A21" t="inlineStr">
        <is>
          <t>OK</t>
        </is>
      </c>
      <c r="B21">
        <f>COUNTIFS(Detail!O:O,"T1_Clean",Detail!P:P,"OK")</f>
        <v/>
      </c>
      <c r="C21" s="11">
        <f>SUMIFS(Detail!M:M,Detail!O:O,"T1_Clean",Detail!P:P,"OK")</f>
        <v/>
      </c>
      <c r="D21">
        <f>COUNTIFS(Detail!O:O,"T2_FullUnpaid",Detail!P:P,"OK")</f>
        <v/>
      </c>
      <c r="E21" s="11">
        <f>SUMIFS(Detail!M:M,Detail!O:O,"T2_FullUnpaid",Detail!P:P,"OK")</f>
        <v/>
      </c>
      <c r="F21">
        <f>COUNTIFS(Detail!O:O,"T3_Mismatch",Detail!P:P,"OK")</f>
        <v/>
      </c>
      <c r="G21">
        <f>COUNTIFS(Detail!O:O,"T0_NoTax",Detail!P:P,"OK")</f>
        <v/>
      </c>
    </row>
    <row r="22">
      <c r="A22" t="inlineStr">
        <is>
          <t>AR LOCKED</t>
        </is>
      </c>
      <c r="B22">
        <f>COUNTIFS(Detail!O:O,"T1_Clean",Detail!P:P,"AR LOCKED")</f>
        <v/>
      </c>
      <c r="C22" s="11">
        <f>SUMIFS(Detail!M:M,Detail!O:O,"T1_Clean",Detail!P:P,"AR LOCKED")</f>
        <v/>
      </c>
      <c r="D22">
        <f>COUNTIFS(Detail!O:O,"T2_FullUnpaid",Detail!P:P,"AR LOCKED")</f>
        <v/>
      </c>
      <c r="E22" s="11">
        <f>SUMIFS(Detail!M:M,Detail!O:O,"T2_FullUnpaid",Detail!P:P,"AR LOCKED")</f>
        <v/>
      </c>
      <c r="F22">
        <f>COUNTIFS(Detail!O:O,"T3_Mismatch",Detail!P:P,"AR LOCKED")</f>
        <v/>
      </c>
      <c r="G22">
        <f>COUNTIFS(Detail!O:O,"T0_NoTax",Detail!P:P,"AR LOCKED")</f>
        <v/>
      </c>
    </row>
    <row r="23">
      <c r="A23" t="inlineStr">
        <is>
          <t>CLOSED+LOCKED</t>
        </is>
      </c>
      <c r="B23">
        <f>COUNTIFS(Detail!O:O,"T1_Clean",Detail!P:P,"CLOSED+LOCKED")</f>
        <v/>
      </c>
      <c r="C23" s="11">
        <f>SUMIFS(Detail!M:M,Detail!O:O,"T1_Clean",Detail!P:P,"CLOSED+LOCKED")</f>
        <v/>
      </c>
      <c r="D23">
        <f>COUNTIFS(Detail!O:O,"T2_FullUnpaid",Detail!P:P,"CLOSED+LOCKED")</f>
        <v/>
      </c>
      <c r="E23" s="11">
        <f>SUMIFS(Detail!M:M,Detail!O:O,"T2_FullUnpaid",Detail!P:P,"CLOSED+LOCKED")</f>
        <v/>
      </c>
      <c r="F23">
        <f>COUNTIFS(Detail!O:O,"T3_Mismatch",Detail!P:P,"CLOSED+LOCKED")</f>
        <v/>
      </c>
      <c r="G23">
        <f>COUNTIFS(Detail!O:O,"T0_NoTax",Detail!P:P,"CLOSED+LOCKED")</f>
        <v/>
      </c>
    </row>
    <row r="24">
      <c r="A24" s="9" t="inlineStr">
        <is>
          <t>TOTAL</t>
        </is>
      </c>
      <c r="B24" s="9">
        <f>SUM(B21:B23)</f>
        <v/>
      </c>
      <c r="C24" s="12">
        <f>SUM(C21:C23)</f>
        <v/>
      </c>
      <c r="D24" s="9">
        <f>SUM(D21:D23)</f>
        <v/>
      </c>
      <c r="E24" s="12">
        <f>SUM(E21:E23)</f>
        <v/>
      </c>
      <c r="F24" s="9">
        <f>SUM(F21:F23)</f>
        <v/>
      </c>
      <c r="G24" s="9">
        <f>SUM(G21:G23)</f>
        <v/>
      </c>
    </row>
    <row r="26">
      <c r="A26" s="3" t="inlineStr">
        <is>
          <t>KEY BLOCKERS</t>
        </is>
      </c>
    </row>
    <row r="27">
      <c r="A27" s="13" t="inlineStr">
        <is>
          <t>1. All 55 T1 Clean invoices fall in CLOSED+LOCKED or AR-LOCKED periods (Aug 2025 – Apr 2026).</t>
        </is>
      </c>
    </row>
    <row r="28">
      <c r="A28" s="13" t="inlineStr">
        <is>
          <t xml:space="preserve">   Direct edit not possible until controller reopens periods + unlocks AR, OR an alternate posting period is used.</t>
        </is>
      </c>
    </row>
    <row r="29">
      <c r="A29" s="13" t="inlineStr">
        <is>
          <t>2. Customer 1727 (Heath Hollis) is still flagged taxable=T in NetSuite. Must be updated to taxable=F</t>
        </is>
      </c>
    </row>
    <row r="30">
      <c r="A30" s="13" t="inlineStr">
        <is>
          <t xml:space="preserve">   with exemption certificate attached BEFORE any edits, otherwise AVATAX will recalc tax on save.</t>
        </is>
      </c>
    </row>
    <row r="31">
      <c r="A31" s="13" t="inlineStr">
        <is>
          <t>3. AVATAX (Avalara) integration recalculates tax on invoice save. Per-line taxcode change required</t>
        </is>
      </c>
    </row>
    <row r="32">
      <c r="A32" s="13" t="inlineStr">
        <is>
          <t xml:space="preserve">   OR AVATAX skip flag must be set per transaction.</t>
        </is>
      </c>
    </row>
    <row r="33">
      <c r="A33" s="13" t="inlineStr">
        <is>
          <t>4. Sales tax filings for the relevant periods confirmed NOT YET FILED (per accounting) — compliance OK.</t>
        </is>
      </c>
    </row>
    <row r="34">
      <c r="A34" s="13" t="inlineStr">
        <is>
          <t>5. Two partial-pay invoices (INV681804, INV687698) show payment-application oddities that need</t>
        </is>
      </c>
    </row>
    <row r="35">
      <c r="A35" s="13" t="inlineStr">
        <is>
          <t xml:space="preserve">   manual NetSuite UI review before any tax change.</t>
        </is>
      </c>
    </row>
    <row r="36">
      <c r="A36" s="13" t="inlineStr">
        <is>
          <t>6. 26 invoices on the list have NO tax line in NetSuite (already non-taxable). Tax removal does not apply;</t>
        </is>
      </c>
    </row>
    <row r="37">
      <c r="A37" s="13" t="inlineStr">
        <is>
          <t xml:space="preserve">   these likely represent collection follow-ups, not tax issues.</t>
        </is>
      </c>
    </row>
    <row r="39">
      <c r="A39" s="3" t="inlineStr">
        <is>
          <t>OUTSTANDING ITEMS FOR ACCOUNTING TEAM (WILLIE)</t>
        </is>
      </c>
    </row>
    <row r="40">
      <c r="A40" s="13" t="inlineStr">
        <is>
          <t>Q1. Confirm the tier classification and amounts above are accurate.</t>
        </is>
      </c>
    </row>
    <row r="41">
      <c r="A41" s="13" t="inlineStr">
        <is>
          <t>Q2. Tier 2 (20 fully-unpaid invoices with tax, $5,040.11 unpaid / $287.74 tax): remove tax now or wait for customer payment?</t>
        </is>
      </c>
    </row>
    <row r="42">
      <c r="A42" s="13" t="inlineStr">
        <is>
          <t>Q3. 26 No-Tax invoices ($3,700.99 unpaid, mostly customer 314): what action is required — this is not a tax issue.</t>
        </is>
      </c>
    </row>
    <row r="43">
      <c r="A43" s="13" t="inlineStr">
        <is>
          <t>Q4. Two partial-pay mismatches (INV681804 unpaid $42.56, INV687698 unpaid $41.09): can accounting investigate payment application?</t>
        </is>
      </c>
    </row>
    <row r="44">
      <c r="A44" s="13" t="inlineStr">
        <is>
          <t>Q5. Will the controller approve reopening accounting periods Aug 2025 – Mar 2026 and unlocking AR for Apr 2026 to enable direct edits?</t>
        </is>
      </c>
    </row>
    <row r="45">
      <c r="A45" s="13" t="inlineStr">
        <is>
          <t>Q6. Alternative: if periods will not be unlocked, may we issue credit memos posted to the current open period (Jun 2026) referencing the old invoices? Same GL impact, no period unlock required.</t>
        </is>
      </c>
    </row>
    <row r="46">
      <c r="A46" s="13" t="inlineStr">
        <is>
          <t>Q7. Customer 1727 record update (taxable=F + exemption certificate attachment): confirm who will make this change and when.</t>
        </is>
      </c>
    </row>
    <row r="47">
      <c r="A47" s="13" t="inlineStr">
        <is>
          <t>Q8. AVATAX line-level handling preference: per-line tax code change or per-transaction AVATAX skip flag?</t>
        </is>
      </c>
    </row>
    <row r="49">
      <c r="A49" s="3" t="inlineStr">
        <is>
          <t>PROPOSED NEXT STEPS</t>
        </is>
      </c>
    </row>
    <row r="50">
      <c r="A50" s="13" t="inlineStr">
        <is>
          <t>Step 1. Accounting team to confirm responses to Q1 – Q8.</t>
        </is>
      </c>
    </row>
    <row r="51">
      <c r="A51" s="13" t="inlineStr">
        <is>
          <t>Step 2. Once Q5/Q6 is decided, accounting to either (a) reopen relevant periods + unlock AR, or (b) approve credit memo workaround.</t>
        </is>
      </c>
    </row>
    <row r="52">
      <c r="A52" s="13" t="inlineStr">
        <is>
          <t>Step 3. Customer 1727 record updated: taxable=F, exemption certificate attached. (per Q7)</t>
        </is>
      </c>
    </row>
    <row r="53">
      <c r="A53" s="13" t="inlineStr">
        <is>
          <t>Step 4. Test edit performed on one open-period invoice (e.g., from Jun 2026) to validate AVATAX behavior.</t>
        </is>
      </c>
    </row>
    <row r="54">
      <c r="A54" s="13" t="inlineStr">
        <is>
          <t>Step 5. Bulk edits/credit memos executed per approved approach, batched by period if applicable.</t>
        </is>
      </c>
    </row>
    <row r="55">
      <c r="A55" s="13" t="inlineStr">
        <is>
          <t>Step 6. Periods re-locked / re-closed (if reopen approach used).</t>
        </is>
      </c>
    </row>
    <row r="56">
      <c r="A56" s="13" t="inlineStr">
        <is>
          <t>Step 7. AR aging re-run; reconcile to expected results.</t>
        </is>
      </c>
    </row>
  </sheetData>
  <mergeCells count="27">
    <mergeCell ref="A32:G32"/>
    <mergeCell ref="A53:G53"/>
    <mergeCell ref="A35:G35"/>
    <mergeCell ref="A29:G29"/>
    <mergeCell ref="A52:G52"/>
    <mergeCell ref="A43:G43"/>
    <mergeCell ref="A28:G28"/>
    <mergeCell ref="A44:G44"/>
    <mergeCell ref="A40:G40"/>
    <mergeCell ref="A31:G31"/>
    <mergeCell ref="A34:G34"/>
    <mergeCell ref="A30:G30"/>
    <mergeCell ref="A51:G51"/>
    <mergeCell ref="A45:G45"/>
    <mergeCell ref="A36:G36"/>
    <mergeCell ref="A1:G1"/>
    <mergeCell ref="A54:G54"/>
    <mergeCell ref="A41:G41"/>
    <mergeCell ref="A46:G46"/>
    <mergeCell ref="A37:G37"/>
    <mergeCell ref="A56:G56"/>
    <mergeCell ref="A27:G27"/>
    <mergeCell ref="A55:G55"/>
    <mergeCell ref="A50:G50"/>
    <mergeCell ref="A33:G33"/>
    <mergeCell ref="A47:G47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28" customWidth="1" min="5" max="5"/>
    <col width="11" customWidth="1" min="6" max="6"/>
    <col width="11" customWidth="1" min="7" max="7"/>
    <col width="14" customWidth="1" min="8" max="8"/>
    <col width="18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8" customWidth="1" min="16" max="16"/>
    <col width="45" customWidth="1" min="17" max="17"/>
    <col width="50" customWidth="1" min="18" max="18"/>
  </cols>
  <sheetData>
    <row r="1" ht="45" customHeight="1">
      <c r="A1" s="14" t="inlineStr">
        <is>
          <t>NS Internal ID</t>
        </is>
      </c>
      <c r="B1" s="14" t="inlineStr">
        <is>
          <t>Doc Number</t>
        </is>
      </c>
      <c r="C1" s="14" t="inlineStr">
        <is>
          <t>Type</t>
        </is>
      </c>
      <c r="D1" s="14" t="inlineStr">
        <is>
          <t>Customer EntityID</t>
        </is>
      </c>
      <c r="E1" s="14" t="inlineStr">
        <is>
          <t>Customer Name</t>
        </is>
      </c>
      <c r="F1" s="14" t="inlineStr">
        <is>
          <t>Tran Date</t>
        </is>
      </c>
      <c r="G1" s="14" t="inlineStr">
        <is>
          <t>Due Date</t>
        </is>
      </c>
      <c r="H1" s="14" t="inlineStr">
        <is>
          <t>Accounting Period (formula)</t>
        </is>
      </c>
      <c r="I1" s="14" t="inlineStr">
        <is>
          <t>Period Feasibility (formula)</t>
        </is>
      </c>
      <c r="J1" s="14" t="inlineStr">
        <is>
          <t>Original Amount</t>
        </is>
      </c>
      <c r="K1" s="14" t="inlineStr">
        <is>
          <t>Amount Remaining</t>
        </is>
      </c>
      <c r="L1" s="14" t="inlineStr">
        <is>
          <t>Amount Paid (formula)</t>
        </is>
      </c>
      <c r="M1" s="14" t="inlineStr">
        <is>
          <t>Sales Tax on Invoice</t>
        </is>
      </c>
      <c r="N1" s="14" t="inlineStr">
        <is>
          <t>Unpaid - Tax (formula)</t>
        </is>
      </c>
      <c r="O1" s="14" t="inlineStr">
        <is>
          <t>Tier (formula)</t>
        </is>
      </c>
      <c r="P1" s="14" t="inlineStr">
        <is>
          <t>Edit Feasibility (formula)</t>
        </is>
      </c>
      <c r="Q1" s="14" t="inlineStr">
        <is>
          <t>Recommended Action (formula)</t>
        </is>
      </c>
      <c r="R1" s="14" t="inlineStr">
        <is>
          <t>Source Note (from accounting team)</t>
        </is>
      </c>
    </row>
    <row r="2">
      <c r="A2" t="n">
        <v>5553</v>
      </c>
      <c r="B2" t="inlineStr">
        <is>
          <t>61916-CM</t>
        </is>
      </c>
      <c r="C2" t="inlineStr">
        <is>
          <t>CustCred</t>
        </is>
      </c>
      <c r="D2" t="inlineStr">
        <is>
          <t>314</t>
        </is>
      </c>
      <c r="E2" t="inlineStr">
        <is>
          <t>Burkhart Dental Supply Company</t>
        </is>
      </c>
      <c r="F2" s="15" t="n">
        <v>45748</v>
      </c>
      <c r="H2">
        <f>IFERROR(INDEX('Period Status'!$A$2:$A$16,MATCH(1,(F2&gt;='Period Status'!$C$2:$C$16)*(F2&lt;='Period Status'!$D$2:$D$16),0)),"?")</f>
        <v/>
      </c>
      <c r="I2">
        <f>IFERROR(VLOOKUP(H2,'Period Status'!$A$2:$I$16,9,FALSE),"?")</f>
        <v/>
      </c>
      <c r="J2" s="7" t="n">
        <v>-15</v>
      </c>
      <c r="K2" s="7" t="n">
        <v>-15</v>
      </c>
      <c r="L2" s="7" t="inlineStr">
        <is>
          <t>N/A (CM)</t>
        </is>
      </c>
      <c r="M2" s="11" t="n">
        <v>0</v>
      </c>
      <c r="N2" s="7" t="inlineStr">
        <is>
          <t>N/A (CM)</t>
        </is>
      </c>
      <c r="O2">
        <f>IF(ISNUMBER(SEARCH("Recently issued",R2)),"CM_Recent","CM_Pending")</f>
        <v/>
      </c>
      <c r="P2">
        <f>I2</f>
        <v/>
      </c>
      <c r="Q2">
        <f>IF(LEFT(O2,2)="CM","See Tier Definitions for CM handling",IF(O2="T1_Clean",IF(P2="OK","Edit invoice to remove tax (immediate)","Edit blocked — requires period unlock by accounting"),IF(O2="T2_FullUnpaid","Hold for accounting decision: remove now or wait for payment",IF(O2="T3_Mismatch","Manual investigation of payment trail in NetSuite required",IF(O2="T0_NoTax","Tax not on invoice — flag back to accounting (collection or other issue)","")))))</f>
        <v/>
      </c>
      <c r="R2" s="8" t="inlineStr">
        <is>
          <t>Please let us know what invoice you would like this applied to</t>
        </is>
      </c>
    </row>
    <row r="3">
      <c r="A3" t="n">
        <v>78923</v>
      </c>
      <c r="B3" t="inlineStr">
        <is>
          <t>INV667672</t>
        </is>
      </c>
      <c r="C3" t="inlineStr">
        <is>
          <t>CustInvc</t>
        </is>
      </c>
      <c r="D3" t="inlineStr">
        <is>
          <t>314</t>
        </is>
      </c>
      <c r="E3" t="inlineStr">
        <is>
          <t>Burkhart Dental Supply Company</t>
        </is>
      </c>
      <c r="F3" s="15" t="n">
        <v>45817</v>
      </c>
      <c r="G3" s="15" t="n">
        <v>45847</v>
      </c>
      <c r="H3">
        <f>IFERROR(INDEX('Period Status'!$A$2:$A$16,MATCH(1,(F3&gt;='Period Status'!$C$2:$C$16)*(F3&lt;='Period Status'!$D$2:$D$16),0)),"?")</f>
        <v/>
      </c>
      <c r="I3">
        <f>IFERROR(VLOOKUP(H3,'Period Status'!$A$2:$I$16,9,FALSE),"?")</f>
        <v/>
      </c>
      <c r="J3" s="7" t="n">
        <v>257.78</v>
      </c>
      <c r="K3" s="7" t="n">
        <v>96.75</v>
      </c>
      <c r="L3" s="7">
        <f>ROUND(J3-K3,2)</f>
        <v/>
      </c>
      <c r="M3" s="11" t="n">
        <v>0</v>
      </c>
      <c r="N3" s="7">
        <f>ROUND(K3-M3,2)</f>
        <v/>
      </c>
      <c r="O3">
        <f>IF(M3=0,"T0_NoTax",IF(ABS(K3-M3)&lt;0.01,"T1_Clean",IF(L3=0,"T2_FullUnpaid","T3_Mismatch")))</f>
        <v/>
      </c>
      <c r="P3">
        <f>I3</f>
        <v/>
      </c>
      <c r="Q3">
        <f>IF(LEFT(O3,2)="CM","See Tier Definitions for CM handling",IF(O3="T1_Clean",IF(P3="OK","Edit invoice to remove tax (immediate)","Edit blocked — requires period unlock by accounting"),IF(O3="T2_FullUnpaid","Hold for accounting decision: remove now or wait for payment",IF(O3="T3_Mismatch","Manual investigation of payment trail in NetSuite required",IF(O3="T0_NoTax","Tax not on invoice — flag back to accounting (collection or other issue)","")))))</f>
        <v/>
      </c>
      <c r="R3" s="8" t="inlineStr">
        <is>
          <t>Please provide date and check amount if showing paid in your system | Also will need S&amp;U adjusted if it is showing on the invoice.</t>
        </is>
      </c>
    </row>
    <row r="4">
      <c r="A4" t="n">
        <v>90254</v>
      </c>
      <c r="B4" t="inlineStr">
        <is>
          <t>INV668024</t>
        </is>
      </c>
      <c r="C4" t="inlineStr">
        <is>
          <t>CustInvc</t>
        </is>
      </c>
      <c r="D4" t="inlineStr">
        <is>
          <t>1727</t>
        </is>
      </c>
      <c r="E4" t="inlineStr">
        <is>
          <t>Heath Hollis (Burkhart)</t>
        </is>
      </c>
      <c r="F4" s="15" t="n">
        <v>45824</v>
      </c>
      <c r="G4" s="15" t="n">
        <v>45854</v>
      </c>
      <c r="H4">
        <f>IFERROR(INDEX('Period Status'!$A$2:$A$16,MATCH(1,(F4&gt;='Period Status'!$C$2:$C$16)*(F4&lt;='Period Status'!$D$2:$D$16),0)),"?")</f>
        <v/>
      </c>
      <c r="I4">
        <f>IFERROR(VLOOKUP(H4,'Period Status'!$A$2:$I$16,9,FALSE),"?")</f>
        <v/>
      </c>
      <c r="J4" s="7" t="n">
        <v>162.36</v>
      </c>
      <c r="K4" s="7" t="n">
        <v>162.36</v>
      </c>
      <c r="L4" s="7">
        <f>ROUND(J4-K4,2)</f>
        <v/>
      </c>
      <c r="M4" s="11" t="n">
        <v>11.65</v>
      </c>
      <c r="N4" s="7">
        <f>ROUND(K4-M4,2)</f>
        <v/>
      </c>
      <c r="O4">
        <f>IF(M4=0,"T0_NoTax",IF(ABS(K4-M4)&lt;0.01,"T1_Clean",IF(L4=0,"T2_FullUnpaid","T3_Mismatch")))</f>
        <v/>
      </c>
      <c r="P4">
        <f>I4</f>
        <v/>
      </c>
      <c r="Q4">
        <f>IF(LEFT(O4,2)="CM","See Tier Definitions for CM handling",IF(O4="T1_Clean",IF(P4="OK","Edit invoice to remove tax (immediate)","Edit blocked — requires period unlock by accounting"),IF(O4="T2_FullUnpaid","Hold for accounting decision: remove now or wait for payment",IF(O4="T3_Mismatch","Manual investigation of payment trail in NetSuite required",IF(O4="T0_NoTax","Tax not on invoice — flag back to accounting (collection or other issue)","")))))</f>
        <v/>
      </c>
      <c r="R4" s="8" t="inlineStr">
        <is>
          <t>Please provide date and check amount if showing paid in your system | Also will need S&amp;U adjusted if it is showing on the invoice.</t>
        </is>
      </c>
    </row>
    <row r="5">
      <c r="A5" t="n">
        <v>90329</v>
      </c>
      <c r="B5" t="inlineStr">
        <is>
          <t>INV668030</t>
        </is>
      </c>
      <c r="C5" t="inlineStr">
        <is>
          <t>CustInvc</t>
        </is>
      </c>
      <c r="D5" t="inlineStr">
        <is>
          <t>1727</t>
        </is>
      </c>
      <c r="E5" t="inlineStr">
        <is>
          <t>Heath Hollis (Burkhart)</t>
        </is>
      </c>
      <c r="F5" s="15" t="n">
        <v>45824</v>
      </c>
      <c r="G5" s="15" t="n">
        <v>45854</v>
      </c>
      <c r="H5">
        <f>IFERROR(INDEX('Period Status'!$A$2:$A$16,MATCH(1,(F5&gt;='Period Status'!$C$2:$C$16)*(F5&lt;='Period Status'!$D$2:$D$16),0)),"?")</f>
        <v/>
      </c>
      <c r="I5">
        <f>IFERROR(VLOOKUP(H5,'Period Status'!$A$2:$I$16,9,FALSE),"?")</f>
        <v/>
      </c>
      <c r="J5" s="7" t="n">
        <v>185.3</v>
      </c>
      <c r="K5" s="7" t="n">
        <v>185.3</v>
      </c>
      <c r="L5" s="7">
        <f>ROUND(J5-K5,2)</f>
        <v/>
      </c>
      <c r="M5" s="11" t="n">
        <v>17.3</v>
      </c>
      <c r="N5" s="7">
        <f>ROUND(K5-M5,2)</f>
        <v/>
      </c>
      <c r="O5">
        <f>IF(M5=0,"T0_NoTax",IF(ABS(K5-M5)&lt;0.01,"T1_Clean",IF(L5=0,"T2_FullUnpaid","T3_Mismatch")))</f>
        <v/>
      </c>
      <c r="P5">
        <f>I5</f>
        <v/>
      </c>
      <c r="Q5">
        <f>IF(LEFT(O5,2)="CM","See Tier Definitions for CM handling",IF(O5="T1_Clean",IF(P5="OK","Edit invoice to remove tax (immediate)","Edit blocked — requires period unlock by accounting"),IF(O5="T2_FullUnpaid","Hold for accounting decision: remove now or wait for payment",IF(O5="T3_Mismatch","Manual investigation of payment trail in NetSuite required",IF(O5="T0_NoTax","Tax not on invoice — flag back to accounting (collection or other issue)","")))))</f>
        <v/>
      </c>
      <c r="R5" s="8" t="inlineStr">
        <is>
          <t>Please provide date and check amount if showing paid in your system | Also will need S&amp;U adjusted if it is showing on the invoice.</t>
        </is>
      </c>
    </row>
    <row r="6">
      <c r="A6" t="n">
        <v>102427</v>
      </c>
      <c r="B6" t="inlineStr">
        <is>
          <t>INV668447</t>
        </is>
      </c>
      <c r="C6" t="inlineStr">
        <is>
          <t>CustInvc</t>
        </is>
      </c>
      <c r="D6" t="inlineStr">
        <is>
          <t>314</t>
        </is>
      </c>
      <c r="E6" t="inlineStr">
        <is>
          <t>Burkhart Dental Supply Company</t>
        </is>
      </c>
      <c r="F6" s="15" t="n">
        <v>45831</v>
      </c>
      <c r="G6" s="15" t="n">
        <v>45861</v>
      </c>
      <c r="H6">
        <f>IFERROR(INDEX('Period Status'!$A$2:$A$16,MATCH(1,(F6&gt;='Period Status'!$C$2:$C$16)*(F6&lt;='Period Status'!$D$2:$D$16),0)),"?")</f>
        <v/>
      </c>
      <c r="I6">
        <f>IFERROR(VLOOKUP(H6,'Period Status'!$A$2:$I$16,9,FALSE),"?")</f>
        <v/>
      </c>
      <c r="J6" s="7" t="n">
        <v>235.65</v>
      </c>
      <c r="K6" s="7" t="n">
        <v>235.65</v>
      </c>
      <c r="L6" s="7">
        <f>ROUND(J6-K6,2)</f>
        <v/>
      </c>
      <c r="M6" s="11" t="n">
        <v>0</v>
      </c>
      <c r="N6" s="7">
        <f>ROUND(K6-M6,2)</f>
        <v/>
      </c>
      <c r="O6">
        <f>IF(M6=0,"T0_NoTax",IF(ABS(K6-M6)&lt;0.01,"T1_Clean",IF(L6=0,"T2_FullUnpaid","T3_Mismatch")))</f>
        <v/>
      </c>
      <c r="P6">
        <f>I6</f>
        <v/>
      </c>
      <c r="Q6">
        <f>IF(LEFT(O6,2)="CM","See Tier Definitions for CM handling",IF(O6="T1_Clean",IF(P6="OK","Edit invoice to remove tax (immediate)","Edit blocked — requires period unlock by accounting"),IF(O6="T2_FullUnpaid","Hold for accounting decision: remove now or wait for payment",IF(O6="T3_Mismatch","Manual investigation of payment trail in NetSuite required",IF(O6="T0_NoTax","Tax not on invoice — flag back to accounting (collection or other issue)","")))))</f>
        <v/>
      </c>
      <c r="R6" s="8" t="inlineStr">
        <is>
          <t>Please provide date and check amount if showing paid in your system | Also will need S&amp;U adjusted if it is showing on the invoice.</t>
        </is>
      </c>
    </row>
    <row r="7">
      <c r="A7" t="n">
        <v>105194</v>
      </c>
      <c r="B7" t="inlineStr">
        <is>
          <t>CM67526</t>
        </is>
      </c>
      <c r="C7" t="inlineStr">
        <is>
          <t>CustCred</t>
        </is>
      </c>
      <c r="D7" t="inlineStr">
        <is>
          <t>314</t>
        </is>
      </c>
      <c r="E7" t="inlineStr">
        <is>
          <t>Burkhart Dental Supply Company</t>
        </is>
      </c>
      <c r="F7" s="15" t="n">
        <v>45832</v>
      </c>
      <c r="H7">
        <f>IFERROR(INDEX('Period Status'!$A$2:$A$16,MATCH(1,(F7&gt;='Period Status'!$C$2:$C$16)*(F7&lt;='Period Status'!$D$2:$D$16),0)),"?")</f>
        <v/>
      </c>
      <c r="I7">
        <f>IFERROR(VLOOKUP(H7,'Period Status'!$A$2:$I$16,9,FALSE),"?")</f>
        <v/>
      </c>
      <c r="J7" s="7" t="n">
        <v>-65.5</v>
      </c>
      <c r="K7" s="7" t="n">
        <v>-65.5</v>
      </c>
      <c r="L7" s="7" t="inlineStr">
        <is>
          <t>N/A (CM)</t>
        </is>
      </c>
      <c r="M7" s="11" t="n">
        <v>0</v>
      </c>
      <c r="N7" s="7" t="inlineStr">
        <is>
          <t>N/A (CM)</t>
        </is>
      </c>
      <c r="O7">
        <f>IF(ISNUMBER(SEARCH("Recently issued",R7)),"CM_Recent","CM_Pending")</f>
        <v/>
      </c>
      <c r="P7">
        <f>I7</f>
        <v/>
      </c>
      <c r="Q7">
        <f>IF(LEFT(O7,2)="CM","See Tier Definitions for CM handling",IF(O7="T1_Clean",IF(P7="OK","Edit invoice to remove tax (immediate)","Edit blocked — requires period unlock by accounting"),IF(O7="T2_FullUnpaid","Hold for accounting decision: remove now or wait for payment",IF(O7="T3_Mismatch","Manual investigation of payment trail in NetSuite required",IF(O7="T0_NoTax","Tax not on invoice — flag back to accounting (collection or other issue)","")))))</f>
        <v/>
      </c>
      <c r="R7" s="8" t="inlineStr">
        <is>
          <t>Please let us know what invoice you would like this applied to</t>
        </is>
      </c>
    </row>
    <row r="8">
      <c r="A8" t="n">
        <v>112423</v>
      </c>
      <c r="B8" t="inlineStr">
        <is>
          <t>INV668779</t>
        </is>
      </c>
      <c r="C8" t="inlineStr">
        <is>
          <t>CustInvc</t>
        </is>
      </c>
      <c r="D8" t="inlineStr">
        <is>
          <t>314</t>
        </is>
      </c>
      <c r="E8" t="inlineStr">
        <is>
          <t>Burkhart Dental Supply Company</t>
        </is>
      </c>
      <c r="F8" s="15" t="n">
        <v>45835</v>
      </c>
      <c r="G8" s="15" t="n">
        <v>45865</v>
      </c>
      <c r="H8">
        <f>IFERROR(INDEX('Period Status'!$A$2:$A$16,MATCH(1,(F8&gt;='Period Status'!$C$2:$C$16)*(F8&lt;='Period Status'!$D$2:$D$16),0)),"?")</f>
        <v/>
      </c>
      <c r="I8">
        <f>IFERROR(VLOOKUP(H8,'Period Status'!$A$2:$I$16,9,FALSE),"?")</f>
        <v/>
      </c>
      <c r="J8" s="7" t="n">
        <v>458.8</v>
      </c>
      <c r="K8" s="7" t="n">
        <v>458.8</v>
      </c>
      <c r="L8" s="7">
        <f>ROUND(J8-K8,2)</f>
        <v/>
      </c>
      <c r="M8" s="11" t="n">
        <v>0</v>
      </c>
      <c r="N8" s="7">
        <f>ROUND(K8-M8,2)</f>
        <v/>
      </c>
      <c r="O8">
        <f>IF(M8=0,"T0_NoTax",IF(ABS(K8-M8)&lt;0.01,"T1_Clean",IF(L8=0,"T2_FullUnpaid","T3_Mismatch")))</f>
        <v/>
      </c>
      <c r="P8">
        <f>I8</f>
        <v/>
      </c>
      <c r="Q8">
        <f>IF(LEFT(O8,2)="CM","See Tier Definitions for CM handling",IF(O8="T1_Clean",IF(P8="OK","Edit invoice to remove tax (immediate)","Edit blocked — requires period unlock by accounting"),IF(O8="T2_FullUnpaid","Hold for accounting decision: remove now or wait for payment",IF(O8="T3_Mismatch","Manual investigation of payment trail in NetSuite required",IF(O8="T0_NoTax","Tax not on invoice — flag back to accounting (collection or other issue)","")))))</f>
        <v/>
      </c>
      <c r="R8" s="8" t="inlineStr">
        <is>
          <t>Please provide date and check amount if showing paid in your system | Also will need S&amp;U adjusted if it is showing on the invoice.</t>
        </is>
      </c>
    </row>
    <row r="9">
      <c r="A9" t="n">
        <v>112430</v>
      </c>
      <c r="B9" t="inlineStr">
        <is>
          <t>INV668786</t>
        </is>
      </c>
      <c r="C9" t="inlineStr">
        <is>
          <t>CustInvc</t>
        </is>
      </c>
      <c r="D9" t="inlineStr">
        <is>
          <t>314</t>
        </is>
      </c>
      <c r="E9" t="inlineStr">
        <is>
          <t>Burkhart Dental Supply Company</t>
        </is>
      </c>
      <c r="F9" s="15" t="n">
        <v>45835</v>
      </c>
      <c r="G9" s="15" t="n">
        <v>45865</v>
      </c>
      <c r="H9">
        <f>IFERROR(INDEX('Period Status'!$A$2:$A$16,MATCH(1,(F9&gt;='Period Status'!$C$2:$C$16)*(F9&lt;='Period Status'!$D$2:$D$16),0)),"?")</f>
        <v/>
      </c>
      <c r="I9">
        <f>IFERROR(VLOOKUP(H9,'Period Status'!$A$2:$I$16,9,FALSE),"?")</f>
        <v/>
      </c>
      <c r="J9" s="7" t="n">
        <v>46.92</v>
      </c>
      <c r="K9" s="7" t="n">
        <v>46.92</v>
      </c>
      <c r="L9" s="7">
        <f>ROUND(J9-K9,2)</f>
        <v/>
      </c>
      <c r="M9" s="11" t="n">
        <v>0</v>
      </c>
      <c r="N9" s="7">
        <f>ROUND(K9-M9,2)</f>
        <v/>
      </c>
      <c r="O9">
        <f>IF(M9=0,"T0_NoTax",IF(ABS(K9-M9)&lt;0.01,"T1_Clean",IF(L9=0,"T2_FullUnpaid","T3_Mismatch")))</f>
        <v/>
      </c>
      <c r="P9">
        <f>I9</f>
        <v/>
      </c>
      <c r="Q9">
        <f>IF(LEFT(O9,2)="CM","See Tier Definitions for CM handling",IF(O9="T1_Clean",IF(P9="OK","Edit invoice to remove tax (immediate)","Edit blocked — requires period unlock by accounting"),IF(O9="T2_FullUnpaid","Hold for accounting decision: remove now or wait for payment",IF(O9="T3_Mismatch","Manual investigation of payment trail in NetSuite required",IF(O9="T0_NoTax","Tax not on invoice — flag back to accounting (collection or other issue)","")))))</f>
        <v/>
      </c>
      <c r="R9" s="8" t="inlineStr">
        <is>
          <t>Please provide date and check amount if showing paid in your system | Also will need S&amp;U adjusted if it is showing on the invoice.</t>
        </is>
      </c>
    </row>
    <row r="10">
      <c r="A10" t="n">
        <v>124232</v>
      </c>
      <c r="B10" t="inlineStr">
        <is>
          <t>CM67577</t>
        </is>
      </c>
      <c r="C10" t="inlineStr">
        <is>
          <t>CustCred</t>
        </is>
      </c>
      <c r="D10" t="inlineStr">
        <is>
          <t>314</t>
        </is>
      </c>
      <c r="E10" t="inlineStr">
        <is>
          <t>Burkhart Dental Supply Company</t>
        </is>
      </c>
      <c r="F10" s="15" t="n">
        <v>45841</v>
      </c>
      <c r="H10">
        <f>IFERROR(INDEX('Period Status'!$A$2:$A$16,MATCH(1,(F10&gt;='Period Status'!$C$2:$C$16)*(F10&lt;='Period Status'!$D$2:$D$16),0)),"?")</f>
        <v/>
      </c>
      <c r="I10">
        <f>IFERROR(VLOOKUP(H10,'Period Status'!$A$2:$I$16,9,FALSE),"?")</f>
        <v/>
      </c>
      <c r="J10" s="7" t="n">
        <v>-27.49</v>
      </c>
      <c r="K10" s="7" t="n">
        <v>-27.49</v>
      </c>
      <c r="L10" s="7" t="inlineStr">
        <is>
          <t>N/A (CM)</t>
        </is>
      </c>
      <c r="M10" s="11" t="n">
        <v>0</v>
      </c>
      <c r="N10" s="7" t="inlineStr">
        <is>
          <t>N/A (CM)</t>
        </is>
      </c>
      <c r="O10">
        <f>IF(ISNUMBER(SEARCH("Recently issued",R10)),"CM_Recent","CM_Pending")</f>
        <v/>
      </c>
      <c r="P10">
        <f>I10</f>
        <v/>
      </c>
      <c r="Q10">
        <f>IF(LEFT(O10,2)="CM","See Tier Definitions for CM handling",IF(O10="T1_Clean",IF(P10="OK","Edit invoice to remove tax (immediate)","Edit blocked — requires period unlock by accounting"),IF(O10="T2_FullUnpaid","Hold for accounting decision: remove now or wait for payment",IF(O10="T3_Mismatch","Manual investigation of payment trail in NetSuite required",IF(O10="T0_NoTax","Tax not on invoice — flag back to accounting (collection or other issue)","")))))</f>
        <v/>
      </c>
      <c r="R10" s="8" t="inlineStr">
        <is>
          <t>Please let us know what invoice you would like this applied to</t>
        </is>
      </c>
    </row>
    <row r="11">
      <c r="A11" t="n">
        <v>134769</v>
      </c>
      <c r="B11" t="inlineStr">
        <is>
          <t>INV669568</t>
        </is>
      </c>
      <c r="C11" t="inlineStr">
        <is>
          <t>CustInvc</t>
        </is>
      </c>
      <c r="D11" t="inlineStr">
        <is>
          <t>1727</t>
        </is>
      </c>
      <c r="E11" t="inlineStr">
        <is>
          <t>Heath Hollis (Burkhart)</t>
        </is>
      </c>
      <c r="F11" s="15" t="n">
        <v>45847</v>
      </c>
      <c r="G11" s="15" t="n">
        <v>45847</v>
      </c>
      <c r="H11">
        <f>IFERROR(INDEX('Period Status'!$A$2:$A$16,MATCH(1,(F11&gt;='Period Status'!$C$2:$C$16)*(F11&lt;='Period Status'!$D$2:$D$16),0)),"?")</f>
        <v/>
      </c>
      <c r="I11">
        <f>IFERROR(VLOOKUP(H11,'Period Status'!$A$2:$I$16,9,FALSE),"?")</f>
        <v/>
      </c>
      <c r="J11" s="7" t="n">
        <v>16.1</v>
      </c>
      <c r="K11" s="7" t="n">
        <v>16.1</v>
      </c>
      <c r="L11" s="7">
        <f>ROUND(J11-K11,2)</f>
        <v/>
      </c>
      <c r="M11" s="11" t="n">
        <v>0</v>
      </c>
      <c r="N11" s="7">
        <f>ROUND(K11-M11,2)</f>
        <v/>
      </c>
      <c r="O11">
        <f>IF(M11=0,"T0_NoTax",IF(ABS(K11-M11)&lt;0.01,"T1_Clean",IF(L11=0,"T2_FullUnpaid","T3_Mismatch")))</f>
        <v/>
      </c>
      <c r="P11">
        <f>I11</f>
        <v/>
      </c>
      <c r="Q11">
        <f>IF(LEFT(O11,2)="CM","See Tier Definitions for CM handling",IF(O11="T1_Clean",IF(P11="OK","Edit invoice to remove tax (immediate)","Edit blocked — requires period unlock by accounting"),IF(O11="T2_FullUnpaid","Hold for accounting decision: remove now or wait for payment",IF(O11="T3_Mismatch","Manual investigation of payment trail in NetSuite required",IF(O11="T0_NoTax","Tax not on invoice — flag back to accounting (collection or other issue)","")))))</f>
        <v/>
      </c>
      <c r="R11" s="8" t="inlineStr">
        <is>
          <t>Please provide date and check amount if showing paid in your system | Also will need S&amp;U adjusted if it is showing on the invoice.</t>
        </is>
      </c>
    </row>
    <row r="12">
      <c r="A12" t="n">
        <v>143577</v>
      </c>
      <c r="B12" t="inlineStr">
        <is>
          <t>INV669818</t>
        </is>
      </c>
      <c r="C12" t="inlineStr">
        <is>
          <t>CustInvc</t>
        </is>
      </c>
      <c r="D12" t="inlineStr">
        <is>
          <t>314</t>
        </is>
      </c>
      <c r="E12" t="inlineStr">
        <is>
          <t>Burkhart Dental Supply Company</t>
        </is>
      </c>
      <c r="F12" s="15" t="n">
        <v>45853</v>
      </c>
      <c r="G12" s="15" t="n">
        <v>45883</v>
      </c>
      <c r="H12">
        <f>IFERROR(INDEX('Period Status'!$A$2:$A$16,MATCH(1,(F12&gt;='Period Status'!$C$2:$C$16)*(F12&lt;='Period Status'!$D$2:$D$16),0)),"?")</f>
        <v/>
      </c>
      <c r="I12">
        <f>IFERROR(VLOOKUP(H12,'Period Status'!$A$2:$I$16,9,FALSE),"?")</f>
        <v/>
      </c>
      <c r="J12" s="7" t="n">
        <v>468.55</v>
      </c>
      <c r="K12" s="7" t="n">
        <v>468.55</v>
      </c>
      <c r="L12" s="7">
        <f>ROUND(J12-K12,2)</f>
        <v/>
      </c>
      <c r="M12" s="11" t="n">
        <v>0</v>
      </c>
      <c r="N12" s="7">
        <f>ROUND(K12-M12,2)</f>
        <v/>
      </c>
      <c r="O12">
        <f>IF(M12=0,"T0_NoTax",IF(ABS(K12-M12)&lt;0.01,"T1_Clean",IF(L12=0,"T2_FullUnpaid","T3_Mismatch")))</f>
        <v/>
      </c>
      <c r="P12">
        <f>I12</f>
        <v/>
      </c>
      <c r="Q12">
        <f>IF(LEFT(O12,2)="CM","See Tier Definitions for CM handling",IF(O12="T1_Clean",IF(P12="OK","Edit invoice to remove tax (immediate)","Edit blocked — requires period unlock by accounting"),IF(O12="T2_FullUnpaid","Hold for accounting decision: remove now or wait for payment",IF(O12="T3_Mismatch","Manual investigation of payment trail in NetSuite required",IF(O12="T0_NoTax","Tax not on invoice — flag back to accounting (collection or other issue)","")))))</f>
        <v/>
      </c>
      <c r="R12" s="8" t="inlineStr">
        <is>
          <t>Please provide date and check amount if showing paid in your system | Also will need S&amp;U adjusted if it is showing on the invoice.</t>
        </is>
      </c>
    </row>
    <row r="13">
      <c r="A13" t="n">
        <v>144382</v>
      </c>
      <c r="B13" t="inlineStr">
        <is>
          <t>INV669855</t>
        </is>
      </c>
      <c r="C13" t="inlineStr">
        <is>
          <t>CustInvc</t>
        </is>
      </c>
      <c r="D13" t="inlineStr">
        <is>
          <t>314</t>
        </is>
      </c>
      <c r="E13" t="inlineStr">
        <is>
          <t>Burkhart Dental Supply Company</t>
        </is>
      </c>
      <c r="F13" s="15" t="n">
        <v>45853</v>
      </c>
      <c r="G13" s="15" t="n">
        <v>45883</v>
      </c>
      <c r="H13">
        <f>IFERROR(INDEX('Period Status'!$A$2:$A$16,MATCH(1,(F13&gt;='Period Status'!$C$2:$C$16)*(F13&lt;='Period Status'!$D$2:$D$16),0)),"?")</f>
        <v/>
      </c>
      <c r="I13">
        <f>IFERROR(VLOOKUP(H13,'Period Status'!$A$2:$I$16,9,FALSE),"?")</f>
        <v/>
      </c>
      <c r="J13" s="7" t="n">
        <v>77.84999999999999</v>
      </c>
      <c r="K13" s="7" t="n">
        <v>77.84999999999999</v>
      </c>
      <c r="L13" s="7">
        <f>ROUND(J13-K13,2)</f>
        <v/>
      </c>
      <c r="M13" s="11" t="n">
        <v>0</v>
      </c>
      <c r="N13" s="7">
        <f>ROUND(K13-M13,2)</f>
        <v/>
      </c>
      <c r="O13">
        <f>IF(M13=0,"T0_NoTax",IF(ABS(K13-M13)&lt;0.01,"T1_Clean",IF(L13=0,"T2_FullUnpaid","T3_Mismatch")))</f>
        <v/>
      </c>
      <c r="P13">
        <f>I13</f>
        <v/>
      </c>
      <c r="Q13">
        <f>IF(LEFT(O13,2)="CM","See Tier Definitions for CM handling",IF(O13="T1_Clean",IF(P13="OK","Edit invoice to remove tax (immediate)","Edit blocked — requires period unlock by accounting"),IF(O13="T2_FullUnpaid","Hold for accounting decision: remove now or wait for payment",IF(O13="T3_Mismatch","Manual investigation of payment trail in NetSuite required",IF(O13="T0_NoTax","Tax not on invoice — flag back to accounting (collection or other issue)","")))))</f>
        <v/>
      </c>
      <c r="R13" s="8" t="inlineStr">
        <is>
          <t>Please provide date and check amount if showing paid in your system | Also will need S&amp;U adjusted if it is showing on the invoice.</t>
        </is>
      </c>
    </row>
    <row r="14">
      <c r="A14" t="n">
        <v>146434</v>
      </c>
      <c r="B14" t="inlineStr">
        <is>
          <t>INV669899</t>
        </is>
      </c>
      <c r="C14" t="inlineStr">
        <is>
          <t>CustInvc</t>
        </is>
      </c>
      <c r="D14" t="inlineStr">
        <is>
          <t>314</t>
        </is>
      </c>
      <c r="E14" t="inlineStr">
        <is>
          <t>Burkhart Dental Supply Company</t>
        </is>
      </c>
      <c r="F14" s="15" t="n">
        <v>45854</v>
      </c>
      <c r="G14" s="15" t="n">
        <v>45884</v>
      </c>
      <c r="H14">
        <f>IFERROR(INDEX('Period Status'!$A$2:$A$16,MATCH(1,(F14&gt;='Period Status'!$C$2:$C$16)*(F14&lt;='Period Status'!$D$2:$D$16),0)),"?")</f>
        <v/>
      </c>
      <c r="I14">
        <f>IFERROR(VLOOKUP(H14,'Period Status'!$A$2:$I$16,9,FALSE),"?")</f>
        <v/>
      </c>
      <c r="J14" s="7" t="n">
        <v>314.99</v>
      </c>
      <c r="K14" s="7" t="n">
        <v>314.99</v>
      </c>
      <c r="L14" s="7">
        <f>ROUND(J14-K14,2)</f>
        <v/>
      </c>
      <c r="M14" s="11" t="n">
        <v>0</v>
      </c>
      <c r="N14" s="7">
        <f>ROUND(K14-M14,2)</f>
        <v/>
      </c>
      <c r="O14">
        <f>IF(M14=0,"T0_NoTax",IF(ABS(K14-M14)&lt;0.01,"T1_Clean",IF(L14=0,"T2_FullUnpaid","T3_Mismatch")))</f>
        <v/>
      </c>
      <c r="P14">
        <f>I14</f>
        <v/>
      </c>
      <c r="Q14">
        <f>IF(LEFT(O14,2)="CM","See Tier Definitions for CM handling",IF(O14="T1_Clean",IF(P14="OK","Edit invoice to remove tax (immediate)","Edit blocked — requires period unlock by accounting"),IF(O14="T2_FullUnpaid","Hold for accounting decision: remove now or wait for payment",IF(O14="T3_Mismatch","Manual investigation of payment trail in NetSuite required",IF(O14="T0_NoTax","Tax not on invoice — flag back to accounting (collection or other issue)","")))))</f>
        <v/>
      </c>
      <c r="R14" s="8" t="inlineStr">
        <is>
          <t>Please provide date and check amount if showing paid in your system | Also will need S&amp;U adjusted if it is showing on the invoice.</t>
        </is>
      </c>
    </row>
    <row r="15">
      <c r="A15" t="n">
        <v>153290</v>
      </c>
      <c r="B15" t="inlineStr">
        <is>
          <t>INV670144</t>
        </is>
      </c>
      <c r="C15" t="inlineStr">
        <is>
          <t>CustInvc</t>
        </is>
      </c>
      <c r="D15" t="inlineStr">
        <is>
          <t>314</t>
        </is>
      </c>
      <c r="E15" t="inlineStr">
        <is>
          <t>Burkhart Dental Supply Company</t>
        </is>
      </c>
      <c r="F15" s="15" t="n">
        <v>45859</v>
      </c>
      <c r="G15" s="15" t="n">
        <v>45889</v>
      </c>
      <c r="H15">
        <f>IFERROR(INDEX('Period Status'!$A$2:$A$16,MATCH(1,(F15&gt;='Period Status'!$C$2:$C$16)*(F15&lt;='Period Status'!$D$2:$D$16),0)),"?")</f>
        <v/>
      </c>
      <c r="I15">
        <f>IFERROR(VLOOKUP(H15,'Period Status'!$A$2:$I$16,9,FALSE),"?")</f>
        <v/>
      </c>
      <c r="J15" s="7" t="n">
        <v>77.20999999999999</v>
      </c>
      <c r="K15" s="7" t="n">
        <v>77.20999999999999</v>
      </c>
      <c r="L15" s="7">
        <f>ROUND(J15-K15,2)</f>
        <v/>
      </c>
      <c r="M15" s="11" t="n">
        <v>0</v>
      </c>
      <c r="N15" s="7">
        <f>ROUND(K15-M15,2)</f>
        <v/>
      </c>
      <c r="O15">
        <f>IF(M15=0,"T0_NoTax",IF(ABS(K15-M15)&lt;0.01,"T1_Clean",IF(L15=0,"T2_FullUnpaid","T3_Mismatch")))</f>
        <v/>
      </c>
      <c r="P15">
        <f>I15</f>
        <v/>
      </c>
      <c r="Q15">
        <f>IF(LEFT(O15,2)="CM","See Tier Definitions for CM handling",IF(O15="T1_Clean",IF(P15="OK","Edit invoice to remove tax (immediate)","Edit blocked — requires period unlock by accounting"),IF(O15="T2_FullUnpaid","Hold for accounting decision: remove now or wait for payment",IF(O15="T3_Mismatch","Manual investigation of payment trail in NetSuite required",IF(O15="T0_NoTax","Tax not on invoice — flag back to accounting (collection or other issue)","")))))</f>
        <v/>
      </c>
      <c r="R15" s="8" t="inlineStr">
        <is>
          <t>Please provide date and check amount if showing paid in your system | Also will need S&amp;U adjusted if it is showing on the invoice.</t>
        </is>
      </c>
    </row>
    <row r="16">
      <c r="A16" t="n">
        <v>153306</v>
      </c>
      <c r="B16" t="inlineStr">
        <is>
          <t>INV670160</t>
        </is>
      </c>
      <c r="C16" t="inlineStr">
        <is>
          <t>CustInvc</t>
        </is>
      </c>
      <c r="D16" t="inlineStr">
        <is>
          <t>314</t>
        </is>
      </c>
      <c r="E16" t="inlineStr">
        <is>
          <t>Burkhart Dental Supply Company</t>
        </is>
      </c>
      <c r="F16" s="15" t="n">
        <v>45859</v>
      </c>
      <c r="G16" s="15" t="n">
        <v>45889</v>
      </c>
      <c r="H16">
        <f>IFERROR(INDEX('Period Status'!$A$2:$A$16,MATCH(1,(F16&gt;='Period Status'!$C$2:$C$16)*(F16&lt;='Period Status'!$D$2:$D$16),0)),"?")</f>
        <v/>
      </c>
      <c r="I16">
        <f>IFERROR(VLOOKUP(H16,'Period Status'!$A$2:$I$16,9,FALSE),"?")</f>
        <v/>
      </c>
      <c r="J16" s="7" t="n">
        <v>102.93</v>
      </c>
      <c r="K16" s="7" t="n">
        <v>102.93</v>
      </c>
      <c r="L16" s="7">
        <f>ROUND(J16-K16,2)</f>
        <v/>
      </c>
      <c r="M16" s="11" t="n">
        <v>0</v>
      </c>
      <c r="N16" s="7">
        <f>ROUND(K16-M16,2)</f>
        <v/>
      </c>
      <c r="O16">
        <f>IF(M16=0,"T0_NoTax",IF(ABS(K16-M16)&lt;0.01,"T1_Clean",IF(L16=0,"T2_FullUnpaid","T3_Mismatch")))</f>
        <v/>
      </c>
      <c r="P16">
        <f>I16</f>
        <v/>
      </c>
      <c r="Q16">
        <f>IF(LEFT(O16,2)="CM","See Tier Definitions for CM handling",IF(O16="T1_Clean",IF(P16="OK","Edit invoice to remove tax (immediate)","Edit blocked — requires period unlock by accounting"),IF(O16="T2_FullUnpaid","Hold for accounting decision: remove now or wait for payment",IF(O16="T3_Mismatch","Manual investigation of payment trail in NetSuite required",IF(O16="T0_NoTax","Tax not on invoice — flag back to accounting (collection or other issue)","")))))</f>
        <v/>
      </c>
      <c r="R16" s="8" t="inlineStr">
        <is>
          <t>Please provide date and check amount if showing paid in your system | Also will need S&amp;U adjusted if it is showing on the invoice.</t>
        </is>
      </c>
    </row>
    <row r="17">
      <c r="A17" t="n">
        <v>158069</v>
      </c>
      <c r="B17" t="inlineStr">
        <is>
          <t>INV670372</t>
        </is>
      </c>
      <c r="C17" t="inlineStr">
        <is>
          <t>CustInvc</t>
        </is>
      </c>
      <c r="D17" t="inlineStr">
        <is>
          <t>314</t>
        </is>
      </c>
      <c r="E17" t="inlineStr">
        <is>
          <t>Burkhart Dental Supply Company</t>
        </is>
      </c>
      <c r="F17" s="15" t="n">
        <v>45861</v>
      </c>
      <c r="G17" s="15" t="n">
        <v>45891</v>
      </c>
      <c r="H17">
        <f>IFERROR(INDEX('Period Status'!$A$2:$A$16,MATCH(1,(F17&gt;='Period Status'!$C$2:$C$16)*(F17&lt;='Period Status'!$D$2:$D$16),0)),"?")</f>
        <v/>
      </c>
      <c r="I17">
        <f>IFERROR(VLOOKUP(H17,'Period Status'!$A$2:$I$16,9,FALSE),"?")</f>
        <v/>
      </c>
      <c r="J17" s="7" t="n">
        <v>235.65</v>
      </c>
      <c r="K17" s="7" t="n">
        <v>235.65</v>
      </c>
      <c r="L17" s="7">
        <f>ROUND(J17-K17,2)</f>
        <v/>
      </c>
      <c r="M17" s="11" t="n">
        <v>0</v>
      </c>
      <c r="N17" s="7">
        <f>ROUND(K17-M17,2)</f>
        <v/>
      </c>
      <c r="O17">
        <f>IF(M17=0,"T0_NoTax",IF(ABS(K17-M17)&lt;0.01,"T1_Clean",IF(L17=0,"T2_FullUnpaid","T3_Mismatch")))</f>
        <v/>
      </c>
      <c r="P17">
        <f>I17</f>
        <v/>
      </c>
      <c r="Q17">
        <f>IF(LEFT(O17,2)="CM","See Tier Definitions for CM handling",IF(O17="T1_Clean",IF(P17="OK","Edit invoice to remove tax (immediate)","Edit blocked — requires period unlock by accounting"),IF(O17="T2_FullUnpaid","Hold for accounting decision: remove now or wait for payment",IF(O17="T3_Mismatch","Manual investigation of payment trail in NetSuite required",IF(O17="T0_NoTax","Tax not on invoice — flag back to accounting (collection or other issue)","")))))</f>
        <v/>
      </c>
      <c r="R17" s="8" t="inlineStr">
        <is>
          <t>Please provide date and check amount if showing paid in your system | Also will need S&amp;U adjusted if it is showing on the invoice.</t>
        </is>
      </c>
    </row>
    <row r="18">
      <c r="A18" t="n">
        <v>164544</v>
      </c>
      <c r="B18" t="inlineStr">
        <is>
          <t>INV670548</t>
        </is>
      </c>
      <c r="C18" t="inlineStr">
        <is>
          <t>CustInvc</t>
        </is>
      </c>
      <c r="D18" t="inlineStr">
        <is>
          <t>314</t>
        </is>
      </c>
      <c r="E18" t="inlineStr">
        <is>
          <t>Burkhart Dental Supply Company</t>
        </is>
      </c>
      <c r="F18" s="15" t="n">
        <v>45866</v>
      </c>
      <c r="G18" s="15" t="n">
        <v>45896</v>
      </c>
      <c r="H18">
        <f>IFERROR(INDEX('Period Status'!$A$2:$A$16,MATCH(1,(F18&gt;='Period Status'!$C$2:$C$16)*(F18&lt;='Period Status'!$D$2:$D$16),0)),"?")</f>
        <v/>
      </c>
      <c r="I18">
        <f>IFERROR(VLOOKUP(H18,'Period Status'!$A$2:$I$16,9,FALSE),"?")</f>
        <v/>
      </c>
      <c r="J18" s="7" t="n">
        <v>120.9</v>
      </c>
      <c r="K18" s="7" t="n">
        <v>120.9</v>
      </c>
      <c r="L18" s="7">
        <f>ROUND(J18-K18,2)</f>
        <v/>
      </c>
      <c r="M18" s="11" t="n">
        <v>0</v>
      </c>
      <c r="N18" s="7">
        <f>ROUND(K18-M18,2)</f>
        <v/>
      </c>
      <c r="O18">
        <f>IF(M18=0,"T0_NoTax",IF(ABS(K18-M18)&lt;0.01,"T1_Clean",IF(L18=0,"T2_FullUnpaid","T3_Mismatch")))</f>
        <v/>
      </c>
      <c r="P18">
        <f>I18</f>
        <v/>
      </c>
      <c r="Q18">
        <f>IF(LEFT(O18,2)="CM","See Tier Definitions for CM handling",IF(O18="T1_Clean",IF(P18="OK","Edit invoice to remove tax (immediate)","Edit blocked — requires period unlock by accounting"),IF(O18="T2_FullUnpaid","Hold for accounting decision: remove now or wait for payment",IF(O18="T3_Mismatch","Manual investigation of payment trail in NetSuite required",IF(O18="T0_NoTax","Tax not on invoice — flag back to accounting (collection or other issue)","")))))</f>
        <v/>
      </c>
      <c r="R18" s="8" t="inlineStr">
        <is>
          <t>Please provide date and check amount if showing paid in your system | Also will need S&amp;U adjusted if it is showing on the invoice.</t>
        </is>
      </c>
    </row>
    <row r="19">
      <c r="A19" t="n">
        <v>164590</v>
      </c>
      <c r="B19" t="inlineStr">
        <is>
          <t>INV670590</t>
        </is>
      </c>
      <c r="C19" t="inlineStr">
        <is>
          <t>CustInvc</t>
        </is>
      </c>
      <c r="D19" t="inlineStr">
        <is>
          <t>314</t>
        </is>
      </c>
      <c r="E19" t="inlineStr">
        <is>
          <t>Burkhart Dental Supply Company</t>
        </is>
      </c>
      <c r="F19" s="15" t="n">
        <v>45866</v>
      </c>
      <c r="G19" s="15" t="n">
        <v>45896</v>
      </c>
      <c r="H19">
        <f>IFERROR(INDEX('Period Status'!$A$2:$A$16,MATCH(1,(F19&gt;='Period Status'!$C$2:$C$16)*(F19&lt;='Period Status'!$D$2:$D$16),0)),"?")</f>
        <v/>
      </c>
      <c r="I19">
        <f>IFERROR(VLOOKUP(H19,'Period Status'!$A$2:$I$16,9,FALSE),"?")</f>
        <v/>
      </c>
      <c r="J19" s="7" t="n">
        <v>37.26</v>
      </c>
      <c r="K19" s="7" t="n">
        <v>37.26</v>
      </c>
      <c r="L19" s="7">
        <f>ROUND(J19-K19,2)</f>
        <v/>
      </c>
      <c r="M19" s="11" t="n">
        <v>0</v>
      </c>
      <c r="N19" s="7">
        <f>ROUND(K19-M19,2)</f>
        <v/>
      </c>
      <c r="O19">
        <f>IF(M19=0,"T0_NoTax",IF(ABS(K19-M19)&lt;0.01,"T1_Clean",IF(L19=0,"T2_FullUnpaid","T3_Mismatch")))</f>
        <v/>
      </c>
      <c r="P19">
        <f>I19</f>
        <v/>
      </c>
      <c r="Q19">
        <f>IF(LEFT(O19,2)="CM","See Tier Definitions for CM handling",IF(O19="T1_Clean",IF(P19="OK","Edit invoice to remove tax (immediate)","Edit blocked — requires period unlock by accounting"),IF(O19="T2_FullUnpaid","Hold for accounting decision: remove now or wait for payment",IF(O19="T3_Mismatch","Manual investigation of payment trail in NetSuite required",IF(O19="T0_NoTax","Tax not on invoice — flag back to accounting (collection or other issue)","")))))</f>
        <v/>
      </c>
      <c r="R19" s="8" t="inlineStr">
        <is>
          <t>Please provide date and check amount if showing paid in your system | Also will need S&amp;U adjusted if it is showing on the invoice.</t>
        </is>
      </c>
    </row>
    <row r="20">
      <c r="A20" t="n">
        <v>171660</v>
      </c>
      <c r="B20" t="inlineStr">
        <is>
          <t>CM67624</t>
        </is>
      </c>
      <c r="C20" t="inlineStr">
        <is>
          <t>CustCred</t>
        </is>
      </c>
      <c r="D20" t="inlineStr">
        <is>
          <t>1727</t>
        </is>
      </c>
      <c r="E20" t="inlineStr">
        <is>
          <t>Heath Hollis (Burkhart)</t>
        </is>
      </c>
      <c r="F20" s="15" t="n">
        <v>45869</v>
      </c>
      <c r="H20">
        <f>IFERROR(INDEX('Period Status'!$A$2:$A$16,MATCH(1,(F20&gt;='Period Status'!$C$2:$C$16)*(F20&lt;='Period Status'!$D$2:$D$16),0)),"?")</f>
        <v/>
      </c>
      <c r="I20">
        <f>IFERROR(VLOOKUP(H20,'Period Status'!$A$2:$I$16,9,FALSE),"?")</f>
        <v/>
      </c>
      <c r="J20" s="7" t="n">
        <v>-16.1</v>
      </c>
      <c r="K20" s="7" t="n">
        <v>-16.1</v>
      </c>
      <c r="L20" s="7" t="inlineStr">
        <is>
          <t>N/A (CM)</t>
        </is>
      </c>
      <c r="M20" s="11" t="n">
        <v>0</v>
      </c>
      <c r="N20" s="7" t="inlineStr">
        <is>
          <t>N/A (CM)</t>
        </is>
      </c>
      <c r="O20">
        <f>IF(ISNUMBER(SEARCH("Recently issued",R20)),"CM_Recent","CM_Pending")</f>
        <v/>
      </c>
      <c r="P20">
        <f>I20</f>
        <v/>
      </c>
      <c r="Q20">
        <f>IF(LEFT(O20,2)="CM","See Tier Definitions for CM handling",IF(O20="T1_Clean",IF(P20="OK","Edit invoice to remove tax (immediate)","Edit blocked — requires period unlock by accounting"),IF(O20="T2_FullUnpaid","Hold for accounting decision: remove now or wait for payment",IF(O20="T3_Mismatch","Manual investigation of payment trail in NetSuite required",IF(O20="T0_NoTax","Tax not on invoice — flag back to accounting (collection or other issue)","")))))</f>
        <v/>
      </c>
      <c r="R20" s="8" t="inlineStr">
        <is>
          <t>Please let us know what invoice you would like this applied to</t>
        </is>
      </c>
    </row>
    <row r="21">
      <c r="A21" t="n">
        <v>190737</v>
      </c>
      <c r="B21" t="inlineStr">
        <is>
          <t>INV671502</t>
        </is>
      </c>
      <c r="C21" t="inlineStr">
        <is>
          <t>CustInvc</t>
        </is>
      </c>
      <c r="D21" t="inlineStr">
        <is>
          <t>1727</t>
        </is>
      </c>
      <c r="E21" t="inlineStr">
        <is>
          <t>Heath Hollis (Burkhart)</t>
        </is>
      </c>
      <c r="F21" s="15" t="n">
        <v>45877</v>
      </c>
      <c r="G21" s="15" t="n">
        <v>45877</v>
      </c>
      <c r="H21">
        <f>IFERROR(INDEX('Period Status'!$A$2:$A$16,MATCH(1,(F21&gt;='Period Status'!$C$2:$C$16)*(F21&lt;='Period Status'!$D$2:$D$16),0)),"?")</f>
        <v/>
      </c>
      <c r="I21">
        <f>IFERROR(VLOOKUP(H21,'Period Status'!$A$2:$I$16,9,FALSE),"?")</f>
        <v/>
      </c>
      <c r="J21" s="7" t="n">
        <v>43.62</v>
      </c>
      <c r="K21" s="7" t="n">
        <v>1.13</v>
      </c>
      <c r="L21" s="7">
        <f>ROUND(J21-K21,2)</f>
        <v/>
      </c>
      <c r="M21" s="11" t="n">
        <v>1.13</v>
      </c>
      <c r="N21" s="7">
        <f>ROUND(K21-M21,2)</f>
        <v/>
      </c>
      <c r="O21">
        <f>IF(M21=0,"T0_NoTax",IF(ABS(K21-M21)&lt;0.01,"T1_Clean",IF(L21=0,"T2_FullUnpaid","T3_Mismatch")))</f>
        <v/>
      </c>
      <c r="P21">
        <f>I21</f>
        <v/>
      </c>
      <c r="Q21">
        <f>IF(LEFT(O21,2)="CM","See Tier Definitions for CM handling",IF(O21="T1_Clean",IF(P21="OK","Edit invoice to remove tax (immediate)","Edit blocked — requires period unlock by accounting"),IF(O21="T2_FullUnpaid","Hold for accounting decision: remove now or wait for payment",IF(O21="T3_Mismatch","Manual investigation of payment trail in NetSuite required",IF(O21="T0_NoTax","Tax not on invoice — flag back to accounting (collection or other issue)","")))))</f>
        <v/>
      </c>
      <c r="R21" s="8" t="inlineStr">
        <is>
          <t>Sales Tax - Received exemption certificate, will resolve shortly</t>
        </is>
      </c>
    </row>
    <row r="22">
      <c r="A22" t="n">
        <v>265488</v>
      </c>
      <c r="B22" t="inlineStr">
        <is>
          <t>INV674001</t>
        </is>
      </c>
      <c r="C22" t="inlineStr">
        <is>
          <t>CustInvc</t>
        </is>
      </c>
      <c r="D22" t="inlineStr">
        <is>
          <t>314</t>
        </is>
      </c>
      <c r="E22" t="inlineStr">
        <is>
          <t>Burkhart Dental Supply Company</t>
        </is>
      </c>
      <c r="F22" s="15" t="n">
        <v>45919</v>
      </c>
      <c r="G22" s="15" t="n">
        <v>45949</v>
      </c>
      <c r="H22">
        <f>IFERROR(INDEX('Period Status'!$A$2:$A$16,MATCH(1,(F22&gt;='Period Status'!$C$2:$C$16)*(F22&lt;='Period Status'!$D$2:$D$16),0)),"?")</f>
        <v/>
      </c>
      <c r="I22">
        <f>IFERROR(VLOOKUP(H22,'Period Status'!$A$2:$I$16,9,FALSE),"?")</f>
        <v/>
      </c>
      <c r="J22" s="7" t="n">
        <v>233.37</v>
      </c>
      <c r="K22" s="7" t="n">
        <v>233.37</v>
      </c>
      <c r="L22" s="7">
        <f>ROUND(J22-K22,2)</f>
        <v/>
      </c>
      <c r="M22" s="11" t="n">
        <v>0</v>
      </c>
      <c r="N22" s="7">
        <f>ROUND(K22-M22,2)</f>
        <v/>
      </c>
      <c r="O22">
        <f>IF(M22=0,"T0_NoTax",IF(ABS(K22-M22)&lt;0.01,"T1_Clean",IF(L22=0,"T2_FullUnpaid","T3_Mismatch")))</f>
        <v/>
      </c>
      <c r="P22">
        <f>I22</f>
        <v/>
      </c>
      <c r="Q22">
        <f>IF(LEFT(O22,2)="CM","See Tier Definitions for CM handling",IF(O22="T1_Clean",IF(P22="OK","Edit invoice to remove tax (immediate)","Edit blocked — requires period unlock by accounting"),IF(O22="T2_FullUnpaid","Hold for accounting decision: remove now or wait for payment",IF(O22="T3_Mismatch","Manual investigation of payment trail in NetSuite required",IF(O22="T0_NoTax","Tax not on invoice — flag back to accounting (collection or other issue)","")))))</f>
        <v/>
      </c>
      <c r="R22" s="8" t="inlineStr">
        <is>
          <t>Please provide date and check amount if showing paid in your system | Also will need S&amp;U adjusted if it is showing on the invoice.</t>
        </is>
      </c>
    </row>
    <row r="23">
      <c r="A23" t="n">
        <v>265492</v>
      </c>
      <c r="B23" t="inlineStr">
        <is>
          <t>INV674004</t>
        </is>
      </c>
      <c r="C23" t="inlineStr">
        <is>
          <t>CustInvc</t>
        </is>
      </c>
      <c r="D23" t="inlineStr">
        <is>
          <t>314</t>
        </is>
      </c>
      <c r="E23" t="inlineStr">
        <is>
          <t>Burkhart Dental Supply Company</t>
        </is>
      </c>
      <c r="F23" s="15" t="n">
        <v>45919</v>
      </c>
      <c r="G23" s="15" t="n">
        <v>45949</v>
      </c>
      <c r="H23">
        <f>IFERROR(INDEX('Period Status'!$A$2:$A$16,MATCH(1,(F23&gt;='Period Status'!$C$2:$C$16)*(F23&lt;='Period Status'!$D$2:$D$16),0)),"?")</f>
        <v/>
      </c>
      <c r="I23">
        <f>IFERROR(VLOOKUP(H23,'Period Status'!$A$2:$I$16,9,FALSE),"?")</f>
        <v/>
      </c>
      <c r="J23" s="7" t="n">
        <v>37.8</v>
      </c>
      <c r="K23" s="7" t="n">
        <v>37.8</v>
      </c>
      <c r="L23" s="7">
        <f>ROUND(J23-K23,2)</f>
        <v/>
      </c>
      <c r="M23" s="11" t="n">
        <v>0</v>
      </c>
      <c r="N23" s="7">
        <f>ROUND(K23-M23,2)</f>
        <v/>
      </c>
      <c r="O23">
        <f>IF(M23=0,"T0_NoTax",IF(ABS(K23-M23)&lt;0.01,"T1_Clean",IF(L23=0,"T2_FullUnpaid","T3_Mismatch")))</f>
        <v/>
      </c>
      <c r="P23">
        <f>I23</f>
        <v/>
      </c>
      <c r="Q23">
        <f>IF(LEFT(O23,2)="CM","See Tier Definitions for CM handling",IF(O23="T1_Clean",IF(P23="OK","Edit invoice to remove tax (immediate)","Edit blocked — requires period unlock by accounting"),IF(O23="T2_FullUnpaid","Hold for accounting decision: remove now or wait for payment",IF(O23="T3_Mismatch","Manual investigation of payment trail in NetSuite required",IF(O23="T0_NoTax","Tax not on invoice — flag back to accounting (collection or other issue)","")))))</f>
        <v/>
      </c>
      <c r="R23" s="8" t="inlineStr">
        <is>
          <t>Please provide date and check amount if showing paid in your system | Also will need S&amp;U adjusted if it is showing on the invoice.</t>
        </is>
      </c>
    </row>
    <row r="24">
      <c r="A24" t="n">
        <v>266351</v>
      </c>
      <c r="B24" t="inlineStr">
        <is>
          <t>CM67656</t>
        </is>
      </c>
      <c r="C24" t="inlineStr">
        <is>
          <t>CustCred</t>
        </is>
      </c>
      <c r="D24" t="inlineStr">
        <is>
          <t>1727</t>
        </is>
      </c>
      <c r="E24" t="inlineStr">
        <is>
          <t>Heath Hollis (Burkhart)</t>
        </is>
      </c>
      <c r="F24" s="15" t="n">
        <v>45922</v>
      </c>
      <c r="H24">
        <f>IFERROR(INDEX('Period Status'!$A$2:$A$16,MATCH(1,(F24&gt;='Period Status'!$C$2:$C$16)*(F24&lt;='Period Status'!$D$2:$D$16),0)),"?")</f>
        <v/>
      </c>
      <c r="I24">
        <f>IFERROR(VLOOKUP(H24,'Period Status'!$A$2:$I$16,9,FALSE),"?")</f>
        <v/>
      </c>
      <c r="J24" s="7" t="n">
        <v>-16.1</v>
      </c>
      <c r="K24" s="7" t="n">
        <v>-16.1</v>
      </c>
      <c r="L24" s="7" t="inlineStr">
        <is>
          <t>N/A (CM)</t>
        </is>
      </c>
      <c r="M24" s="11" t="n">
        <v>0</v>
      </c>
      <c r="N24" s="7" t="inlineStr">
        <is>
          <t>N/A (CM)</t>
        </is>
      </c>
      <c r="O24">
        <f>IF(ISNUMBER(SEARCH("Recently issued",R24)),"CM_Recent","CM_Pending")</f>
        <v/>
      </c>
      <c r="P24">
        <f>I24</f>
        <v/>
      </c>
      <c r="Q24">
        <f>IF(LEFT(O24,2)="CM","See Tier Definitions for CM handling",IF(O24="T1_Clean",IF(P24="OK","Edit invoice to remove tax (immediate)","Edit blocked — requires period unlock by accounting"),IF(O24="T2_FullUnpaid","Hold for accounting decision: remove now or wait for payment",IF(O24="T3_Mismatch","Manual investigation of payment trail in NetSuite required",IF(O24="T0_NoTax","Tax not on invoice — flag back to accounting (collection or other issue)","")))))</f>
        <v/>
      </c>
      <c r="R24" s="8" t="inlineStr">
        <is>
          <t>Please let us know what invoice you would like this applied to</t>
        </is>
      </c>
    </row>
    <row r="25">
      <c r="A25" t="n">
        <v>269416</v>
      </c>
      <c r="B25" t="inlineStr">
        <is>
          <t>INV674152</t>
        </is>
      </c>
      <c r="C25" t="inlineStr">
        <is>
          <t>CustInvc</t>
        </is>
      </c>
      <c r="D25" t="inlineStr">
        <is>
          <t>1727</t>
        </is>
      </c>
      <c r="E25" t="inlineStr">
        <is>
          <t>Heath Hollis (Burkhart)</t>
        </is>
      </c>
      <c r="F25" s="15" t="n">
        <v>45923</v>
      </c>
      <c r="G25" s="15" t="n">
        <v>45953</v>
      </c>
      <c r="H25">
        <f>IFERROR(INDEX('Period Status'!$A$2:$A$16,MATCH(1,(F25&gt;='Period Status'!$C$2:$C$16)*(F25&lt;='Period Status'!$D$2:$D$16),0)),"?")</f>
        <v/>
      </c>
      <c r="I25">
        <f>IFERROR(VLOOKUP(H25,'Period Status'!$A$2:$I$16,9,FALSE),"?")</f>
        <v/>
      </c>
      <c r="J25" s="7" t="n">
        <v>37.97</v>
      </c>
      <c r="K25" s="7" t="n">
        <v>37.97</v>
      </c>
      <c r="L25" s="7">
        <f>ROUND(J25-K25,2)</f>
        <v/>
      </c>
      <c r="M25" s="11" t="n">
        <v>1.23</v>
      </c>
      <c r="N25" s="7">
        <f>ROUND(K25-M25,2)</f>
        <v/>
      </c>
      <c r="O25">
        <f>IF(M25=0,"T0_NoTax",IF(ABS(K25-M25)&lt;0.01,"T1_Clean",IF(L25=0,"T2_FullUnpaid","T3_Mismatch")))</f>
        <v/>
      </c>
      <c r="P25">
        <f>I25</f>
        <v/>
      </c>
      <c r="Q25">
        <f>IF(LEFT(O25,2)="CM","See Tier Definitions for CM handling",IF(O25="T1_Clean",IF(P25="OK","Edit invoice to remove tax (immediate)","Edit blocked — requires period unlock by accounting"),IF(O25="T2_FullUnpaid","Hold for accounting decision: remove now or wait for payment",IF(O25="T3_Mismatch","Manual investigation of payment trail in NetSuite required",IF(O25="T0_NoTax","Tax not on invoice — flag back to accounting (collection or other issue)","")))))</f>
        <v/>
      </c>
      <c r="R25" s="8" t="inlineStr">
        <is>
          <t>Please provide date and check amount if showing paid in your system | Also will need S&amp;U adjusted if it is showing on the invoice.</t>
        </is>
      </c>
    </row>
    <row r="26">
      <c r="A26" t="n">
        <v>273777</v>
      </c>
      <c r="B26" t="inlineStr">
        <is>
          <t>INV674349</t>
        </is>
      </c>
      <c r="C26" t="inlineStr">
        <is>
          <t>CustInvc</t>
        </is>
      </c>
      <c r="D26" t="inlineStr">
        <is>
          <t>314</t>
        </is>
      </c>
      <c r="E26" t="inlineStr">
        <is>
          <t>Burkhart Dental Supply Company</t>
        </is>
      </c>
      <c r="F26" s="15" t="n">
        <v>45925</v>
      </c>
      <c r="G26" s="15" t="n">
        <v>45955</v>
      </c>
      <c r="H26">
        <f>IFERROR(INDEX('Period Status'!$A$2:$A$16,MATCH(1,(F26&gt;='Period Status'!$C$2:$C$16)*(F26&lt;='Period Status'!$D$2:$D$16),0)),"?")</f>
        <v/>
      </c>
      <c r="I26">
        <f>IFERROR(VLOOKUP(H26,'Period Status'!$A$2:$I$16,9,FALSE),"?")</f>
        <v/>
      </c>
      <c r="J26" s="7" t="n">
        <v>29.59</v>
      </c>
      <c r="K26" s="7" t="n">
        <v>29.59</v>
      </c>
      <c r="L26" s="7">
        <f>ROUND(J26-K26,2)</f>
        <v/>
      </c>
      <c r="M26" s="11" t="n">
        <v>0</v>
      </c>
      <c r="N26" s="7">
        <f>ROUND(K26-M26,2)</f>
        <v/>
      </c>
      <c r="O26">
        <f>IF(M26=0,"T0_NoTax",IF(ABS(K26-M26)&lt;0.01,"T1_Clean",IF(L26=0,"T2_FullUnpaid","T3_Mismatch")))</f>
        <v/>
      </c>
      <c r="P26">
        <f>I26</f>
        <v/>
      </c>
      <c r="Q26">
        <f>IF(LEFT(O26,2)="CM","See Tier Definitions for CM handling",IF(O26="T1_Clean",IF(P26="OK","Edit invoice to remove tax (immediate)","Edit blocked — requires period unlock by accounting"),IF(O26="T2_FullUnpaid","Hold for accounting decision: remove now or wait for payment",IF(O26="T3_Mismatch","Manual investigation of payment trail in NetSuite required",IF(O26="T0_NoTax","Tax not on invoice — flag back to accounting (collection or other issue)","")))))</f>
        <v/>
      </c>
      <c r="R26" s="8" t="inlineStr">
        <is>
          <t>Please provide date and check amount if showing paid in your system | Also will need S&amp;U adjusted if it is showing on the invoice.</t>
        </is>
      </c>
    </row>
    <row r="27">
      <c r="A27" t="n">
        <v>288039</v>
      </c>
      <c r="B27" t="inlineStr">
        <is>
          <t>INV675167</t>
        </is>
      </c>
      <c r="C27" t="inlineStr">
        <is>
          <t>CustInvc</t>
        </is>
      </c>
      <c r="D27" t="inlineStr">
        <is>
          <t>314</t>
        </is>
      </c>
      <c r="E27" t="inlineStr">
        <is>
          <t>Burkhart Dental Supply Company</t>
        </is>
      </c>
      <c r="F27" s="15" t="n">
        <v>45933</v>
      </c>
      <c r="G27" s="15" t="n">
        <v>45963</v>
      </c>
      <c r="H27">
        <f>IFERROR(INDEX('Period Status'!$A$2:$A$16,MATCH(1,(F27&gt;='Period Status'!$C$2:$C$16)*(F27&lt;='Period Status'!$D$2:$D$16),0)),"?")</f>
        <v/>
      </c>
      <c r="I27">
        <f>IFERROR(VLOOKUP(H27,'Period Status'!$A$2:$I$16,9,FALSE),"?")</f>
        <v/>
      </c>
      <c r="J27" s="7" t="n">
        <v>122.99</v>
      </c>
      <c r="K27" s="7" t="n">
        <v>122.99</v>
      </c>
      <c r="L27" s="7">
        <f>ROUND(J27-K27,2)</f>
        <v/>
      </c>
      <c r="M27" s="11" t="n">
        <v>0</v>
      </c>
      <c r="N27" s="7">
        <f>ROUND(K27-M27,2)</f>
        <v/>
      </c>
      <c r="O27">
        <f>IF(M27=0,"T0_NoTax",IF(ABS(K27-M27)&lt;0.01,"T1_Clean",IF(L27=0,"T2_FullUnpaid","T3_Mismatch")))</f>
        <v/>
      </c>
      <c r="P27">
        <f>I27</f>
        <v/>
      </c>
      <c r="Q27">
        <f>IF(LEFT(O27,2)="CM","See Tier Definitions for CM handling",IF(O27="T1_Clean",IF(P27="OK","Edit invoice to remove tax (immediate)","Edit blocked — requires period unlock by accounting"),IF(O27="T2_FullUnpaid","Hold for accounting decision: remove now or wait for payment",IF(O27="T3_Mismatch","Manual investigation of payment trail in NetSuite required",IF(O27="T0_NoTax","Tax not on invoice — flag back to accounting (collection or other issue)","")))))</f>
        <v/>
      </c>
      <c r="R27" s="8" t="inlineStr">
        <is>
          <t>Please provide date and check amount if showing paid in your system | Also will need S&amp;U adjusted if it is showing on the invoice.</t>
        </is>
      </c>
    </row>
    <row r="28">
      <c r="A28" t="n">
        <v>288042</v>
      </c>
      <c r="B28" t="inlineStr">
        <is>
          <t>INV675170</t>
        </is>
      </c>
      <c r="C28" t="inlineStr">
        <is>
          <t>CustInvc</t>
        </is>
      </c>
      <c r="D28" t="inlineStr">
        <is>
          <t>1727</t>
        </is>
      </c>
      <c r="E28" t="inlineStr">
        <is>
          <t>Heath Hollis (Burkhart)</t>
        </is>
      </c>
      <c r="F28" s="15" t="n">
        <v>45933</v>
      </c>
      <c r="G28" s="15" t="n">
        <v>45963</v>
      </c>
      <c r="H28">
        <f>IFERROR(INDEX('Period Status'!$A$2:$A$16,MATCH(1,(F28&gt;='Period Status'!$C$2:$C$16)*(F28&lt;='Period Status'!$D$2:$D$16),0)),"?")</f>
        <v/>
      </c>
      <c r="I28">
        <f>IFERROR(VLOOKUP(H28,'Period Status'!$A$2:$I$16,9,FALSE),"?")</f>
        <v/>
      </c>
      <c r="J28" s="7" t="n">
        <v>393.28</v>
      </c>
      <c r="K28" s="7" t="n">
        <v>393.28</v>
      </c>
      <c r="L28" s="7">
        <f>ROUND(J28-K28,2)</f>
        <v/>
      </c>
      <c r="M28" s="11" t="n">
        <v>8.99</v>
      </c>
      <c r="N28" s="7">
        <f>ROUND(K28-M28,2)</f>
        <v/>
      </c>
      <c r="O28">
        <f>IF(M28=0,"T0_NoTax",IF(ABS(K28-M28)&lt;0.01,"T1_Clean",IF(L28=0,"T2_FullUnpaid","T3_Mismatch")))</f>
        <v/>
      </c>
      <c r="P28">
        <f>I28</f>
        <v/>
      </c>
      <c r="Q28">
        <f>IF(LEFT(O28,2)="CM","See Tier Definitions for CM handling",IF(O28="T1_Clean",IF(P28="OK","Edit invoice to remove tax (immediate)","Edit blocked — requires period unlock by accounting"),IF(O28="T2_FullUnpaid","Hold for accounting decision: remove now or wait for payment",IF(O28="T3_Mismatch","Manual investigation of payment trail in NetSuite required",IF(O28="T0_NoTax","Tax not on invoice — flag back to accounting (collection or other issue)","")))))</f>
        <v/>
      </c>
      <c r="R28" s="8" t="inlineStr">
        <is>
          <t>Please provide date and check amount if showing paid in your system | Also will need S&amp;U adjusted if it is showing on the invoice.</t>
        </is>
      </c>
    </row>
    <row r="29">
      <c r="A29" t="n">
        <v>295090</v>
      </c>
      <c r="B29" t="inlineStr">
        <is>
          <t>INV675518</t>
        </is>
      </c>
      <c r="C29" t="inlineStr">
        <is>
          <t>CustInvc</t>
        </is>
      </c>
      <c r="D29" t="inlineStr">
        <is>
          <t>314</t>
        </is>
      </c>
      <c r="E29" t="inlineStr">
        <is>
          <t>Burkhart Dental Supply Company</t>
        </is>
      </c>
      <c r="F29" s="15" t="n">
        <v>45939</v>
      </c>
      <c r="G29" s="15" t="n">
        <v>45969</v>
      </c>
      <c r="H29">
        <f>IFERROR(INDEX('Period Status'!$A$2:$A$16,MATCH(1,(F29&gt;='Period Status'!$C$2:$C$16)*(F29&lt;='Period Status'!$D$2:$D$16),0)),"?")</f>
        <v/>
      </c>
      <c r="I29">
        <f>IFERROR(VLOOKUP(H29,'Period Status'!$A$2:$I$16,9,FALSE),"?")</f>
        <v/>
      </c>
      <c r="J29" s="7" t="n">
        <v>69.88</v>
      </c>
      <c r="K29" s="7" t="n">
        <v>69.88</v>
      </c>
      <c r="L29" s="7">
        <f>ROUND(J29-K29,2)</f>
        <v/>
      </c>
      <c r="M29" s="11" t="n">
        <v>0</v>
      </c>
      <c r="N29" s="7">
        <f>ROUND(K29-M29,2)</f>
        <v/>
      </c>
      <c r="O29">
        <f>IF(M29=0,"T0_NoTax",IF(ABS(K29-M29)&lt;0.01,"T1_Clean",IF(L29=0,"T2_FullUnpaid","T3_Mismatch")))</f>
        <v/>
      </c>
      <c r="P29">
        <f>I29</f>
        <v/>
      </c>
      <c r="Q29">
        <f>IF(LEFT(O29,2)="CM","See Tier Definitions for CM handling",IF(O29="T1_Clean",IF(P29="OK","Edit invoice to remove tax (immediate)","Edit blocked — requires period unlock by accounting"),IF(O29="T2_FullUnpaid","Hold for accounting decision: remove now or wait for payment",IF(O29="T3_Mismatch","Manual investigation of payment trail in NetSuite required",IF(O29="T0_NoTax","Tax not on invoice — flag back to accounting (collection or other issue)","")))))</f>
        <v/>
      </c>
      <c r="R29" s="8" t="inlineStr">
        <is>
          <t>Please provide date and check amount if showing paid in your system | Also will need S&amp;U adjusted if it is showing on the invoice.</t>
        </is>
      </c>
    </row>
    <row r="30">
      <c r="A30" t="n">
        <v>295111</v>
      </c>
      <c r="B30" t="inlineStr">
        <is>
          <t>INV675538</t>
        </is>
      </c>
      <c r="C30" t="inlineStr">
        <is>
          <t>CustInvc</t>
        </is>
      </c>
      <c r="D30" t="inlineStr">
        <is>
          <t>314</t>
        </is>
      </c>
      <c r="E30" t="inlineStr">
        <is>
          <t>Burkhart Dental Supply Company</t>
        </is>
      </c>
      <c r="F30" s="15" t="n">
        <v>45939</v>
      </c>
      <c r="G30" s="15" t="n">
        <v>45969</v>
      </c>
      <c r="H30">
        <f>IFERROR(INDEX('Period Status'!$A$2:$A$16,MATCH(1,(F30&gt;='Period Status'!$C$2:$C$16)*(F30&lt;='Period Status'!$D$2:$D$16),0)),"?")</f>
        <v/>
      </c>
      <c r="I30">
        <f>IFERROR(VLOOKUP(H30,'Period Status'!$A$2:$I$16,9,FALSE),"?")</f>
        <v/>
      </c>
      <c r="J30" s="7" t="n">
        <v>447.75</v>
      </c>
      <c r="K30" s="7" t="n">
        <v>447.75</v>
      </c>
      <c r="L30" s="7">
        <f>ROUND(J30-K30,2)</f>
        <v/>
      </c>
      <c r="M30" s="11" t="n">
        <v>0</v>
      </c>
      <c r="N30" s="7">
        <f>ROUND(K30-M30,2)</f>
        <v/>
      </c>
      <c r="O30">
        <f>IF(M30=0,"T0_NoTax",IF(ABS(K30-M30)&lt;0.01,"T1_Clean",IF(L30=0,"T2_FullUnpaid","T3_Mismatch")))</f>
        <v/>
      </c>
      <c r="P30">
        <f>I30</f>
        <v/>
      </c>
      <c r="Q30">
        <f>IF(LEFT(O30,2)="CM","See Tier Definitions for CM handling",IF(O30="T1_Clean",IF(P30="OK","Edit invoice to remove tax (immediate)","Edit blocked — requires period unlock by accounting"),IF(O30="T2_FullUnpaid","Hold for accounting decision: remove now or wait for payment",IF(O30="T3_Mismatch","Manual investigation of payment trail in NetSuite required",IF(O30="T0_NoTax","Tax not on invoice — flag back to accounting (collection or other issue)","")))))</f>
        <v/>
      </c>
      <c r="R30" s="8" t="inlineStr">
        <is>
          <t>Please provide date and check amount if showing paid in your system | Also will need S&amp;U adjusted if it is showing on the invoice.</t>
        </is>
      </c>
    </row>
    <row r="31">
      <c r="A31" t="n">
        <v>295120</v>
      </c>
      <c r="B31" t="inlineStr">
        <is>
          <t>INV675546</t>
        </is>
      </c>
      <c r="C31" t="inlineStr">
        <is>
          <t>CustInvc</t>
        </is>
      </c>
      <c r="D31" t="inlineStr">
        <is>
          <t>314</t>
        </is>
      </c>
      <c r="E31" t="inlineStr">
        <is>
          <t>Burkhart Dental Supply Company</t>
        </is>
      </c>
      <c r="F31" s="15" t="n">
        <v>45939</v>
      </c>
      <c r="G31" s="15" t="n">
        <v>45969</v>
      </c>
      <c r="H31">
        <f>IFERROR(INDEX('Period Status'!$A$2:$A$16,MATCH(1,(F31&gt;='Period Status'!$C$2:$C$16)*(F31&lt;='Period Status'!$D$2:$D$16),0)),"?")</f>
        <v/>
      </c>
      <c r="I31">
        <f>IFERROR(VLOOKUP(H31,'Period Status'!$A$2:$I$16,9,FALSE),"?")</f>
        <v/>
      </c>
      <c r="J31" s="7" t="n">
        <v>31.28</v>
      </c>
      <c r="K31" s="7" t="n">
        <v>31.28</v>
      </c>
      <c r="L31" s="7">
        <f>ROUND(J31-K31,2)</f>
        <v/>
      </c>
      <c r="M31" s="11" t="n">
        <v>0</v>
      </c>
      <c r="N31" s="7">
        <f>ROUND(K31-M31,2)</f>
        <v/>
      </c>
      <c r="O31">
        <f>IF(M31=0,"T0_NoTax",IF(ABS(K31-M31)&lt;0.01,"T1_Clean",IF(L31=0,"T2_FullUnpaid","T3_Mismatch")))</f>
        <v/>
      </c>
      <c r="P31">
        <f>I31</f>
        <v/>
      </c>
      <c r="Q31">
        <f>IF(LEFT(O31,2)="CM","See Tier Definitions for CM handling",IF(O31="T1_Clean",IF(P31="OK","Edit invoice to remove tax (immediate)","Edit blocked — requires period unlock by accounting"),IF(O31="T2_FullUnpaid","Hold for accounting decision: remove now or wait for payment",IF(O31="T3_Mismatch","Manual investigation of payment trail in NetSuite required",IF(O31="T0_NoTax","Tax not on invoice — flag back to accounting (collection or other issue)","")))))</f>
        <v/>
      </c>
      <c r="R31" s="8" t="inlineStr">
        <is>
          <t>Please provide date and check amount if showing paid in your system | Also will need S&amp;U adjusted if it is showing on the invoice.</t>
        </is>
      </c>
    </row>
    <row r="32">
      <c r="A32" t="n">
        <v>337114</v>
      </c>
      <c r="B32" t="inlineStr">
        <is>
          <t>INV676813</t>
        </is>
      </c>
      <c r="C32" t="inlineStr">
        <is>
          <t>CustInvc</t>
        </is>
      </c>
      <c r="D32" t="inlineStr">
        <is>
          <t>1727</t>
        </is>
      </c>
      <c r="E32" t="inlineStr">
        <is>
          <t>Heath Hollis (Burkhart)</t>
        </is>
      </c>
      <c r="F32" s="15" t="n">
        <v>45964</v>
      </c>
      <c r="G32" s="15" t="n">
        <v>45994</v>
      </c>
      <c r="H32">
        <f>IFERROR(INDEX('Period Status'!$A$2:$A$16,MATCH(1,(F32&gt;='Period Status'!$C$2:$C$16)*(F32&lt;='Period Status'!$D$2:$D$16),0)),"?")</f>
        <v/>
      </c>
      <c r="I32">
        <f>IFERROR(VLOOKUP(H32,'Period Status'!$A$2:$I$16,9,FALSE),"?")</f>
        <v/>
      </c>
      <c r="J32" s="7" t="n">
        <v>87.31</v>
      </c>
      <c r="K32" s="7" t="n">
        <v>8.16</v>
      </c>
      <c r="L32" s="7">
        <f>ROUND(J32-K32,2)</f>
        <v/>
      </c>
      <c r="M32" s="11" t="n">
        <v>8.16</v>
      </c>
      <c r="N32" s="7">
        <f>ROUND(K32-M32,2)</f>
        <v/>
      </c>
      <c r="O32">
        <f>IF(M32=0,"T0_NoTax",IF(ABS(K32-M32)&lt;0.01,"T1_Clean",IF(L32=0,"T2_FullUnpaid","T3_Mismatch")))</f>
        <v/>
      </c>
      <c r="P32">
        <f>I32</f>
        <v/>
      </c>
      <c r="Q32">
        <f>IF(LEFT(O32,2)="CM","See Tier Definitions for CM handling",IF(O32="T1_Clean",IF(P32="OK","Edit invoice to remove tax (immediate)","Edit blocked — requires period unlock by accounting"),IF(O32="T2_FullUnpaid","Hold for accounting decision: remove now or wait for payment",IF(O32="T3_Mismatch","Manual investigation of payment trail in NetSuite required",IF(O32="T0_NoTax","Tax not on invoice — flag back to accounting (collection or other issue)","")))))</f>
        <v/>
      </c>
      <c r="R32" s="8" t="inlineStr">
        <is>
          <t>Sales Tax - Received exemption certificate, will resolve shortly</t>
        </is>
      </c>
    </row>
    <row r="33">
      <c r="A33" t="n">
        <v>354456</v>
      </c>
      <c r="B33" t="inlineStr">
        <is>
          <t>INV677300</t>
        </is>
      </c>
      <c r="C33" t="inlineStr">
        <is>
          <t>CustInvc</t>
        </is>
      </c>
      <c r="D33" t="inlineStr">
        <is>
          <t>1727</t>
        </is>
      </c>
      <c r="E33" t="inlineStr">
        <is>
          <t>Heath Hollis (Burkhart)</t>
        </is>
      </c>
      <c r="F33" s="15" t="n">
        <v>45968</v>
      </c>
      <c r="G33" s="15" t="n">
        <v>45998</v>
      </c>
      <c r="H33">
        <f>IFERROR(INDEX('Period Status'!$A$2:$A$16,MATCH(1,(F33&gt;='Period Status'!$C$2:$C$16)*(F33&lt;='Period Status'!$D$2:$D$16),0)),"?")</f>
        <v/>
      </c>
      <c r="I33">
        <f>IFERROR(VLOOKUP(H33,'Period Status'!$A$2:$I$16,9,FALSE),"?")</f>
        <v/>
      </c>
      <c r="J33" s="7" t="n">
        <v>209.92</v>
      </c>
      <c r="K33" s="7" t="n">
        <v>12.53</v>
      </c>
      <c r="L33" s="7">
        <f>ROUND(J33-K33,2)</f>
        <v/>
      </c>
      <c r="M33" s="11" t="n">
        <v>12.53</v>
      </c>
      <c r="N33" s="7">
        <f>ROUND(K33-M33,2)</f>
        <v/>
      </c>
      <c r="O33">
        <f>IF(M33=0,"T0_NoTax",IF(ABS(K33-M33)&lt;0.01,"T1_Clean",IF(L33=0,"T2_FullUnpaid","T3_Mismatch")))</f>
        <v/>
      </c>
      <c r="P33">
        <f>I33</f>
        <v/>
      </c>
      <c r="Q33">
        <f>IF(LEFT(O33,2)="CM","See Tier Definitions for CM handling",IF(O33="T1_Clean",IF(P33="OK","Edit invoice to remove tax (immediate)","Edit blocked — requires period unlock by accounting"),IF(O33="T2_FullUnpaid","Hold for accounting decision: remove now or wait for payment",IF(O33="T3_Mismatch","Manual investigation of payment trail in NetSuite required",IF(O33="T0_NoTax","Tax not on invoice — flag back to accounting (collection or other issue)","")))))</f>
        <v/>
      </c>
      <c r="R33" s="8" t="inlineStr">
        <is>
          <t>Sales Tax - Received exemption certificate, will resolve shortly</t>
        </is>
      </c>
    </row>
    <row r="34">
      <c r="A34" t="n">
        <v>354462</v>
      </c>
      <c r="B34" t="inlineStr">
        <is>
          <t>INV677305</t>
        </is>
      </c>
      <c r="C34" t="inlineStr">
        <is>
          <t>CustInvc</t>
        </is>
      </c>
      <c r="D34" t="inlineStr">
        <is>
          <t>1727</t>
        </is>
      </c>
      <c r="E34" t="inlineStr">
        <is>
          <t>Heath Hollis (Burkhart)</t>
        </is>
      </c>
      <c r="F34" s="15" t="n">
        <v>45968</v>
      </c>
      <c r="G34" s="15" t="n">
        <v>45998</v>
      </c>
      <c r="H34">
        <f>IFERROR(INDEX('Period Status'!$A$2:$A$16,MATCH(1,(F34&gt;='Period Status'!$C$2:$C$16)*(F34&lt;='Period Status'!$D$2:$D$16),0)),"?")</f>
        <v/>
      </c>
      <c r="I34">
        <f>IFERROR(VLOOKUP(H34,'Period Status'!$A$2:$I$16,9,FALSE),"?")</f>
        <v/>
      </c>
      <c r="J34" s="7" t="n">
        <v>52.69</v>
      </c>
      <c r="K34" s="7" t="n">
        <v>2.91</v>
      </c>
      <c r="L34" s="7">
        <f>ROUND(J34-K34,2)</f>
        <v/>
      </c>
      <c r="M34" s="11" t="n">
        <v>2.91</v>
      </c>
      <c r="N34" s="7">
        <f>ROUND(K34-M34,2)</f>
        <v/>
      </c>
      <c r="O34">
        <f>IF(M34=0,"T0_NoTax",IF(ABS(K34-M34)&lt;0.01,"T1_Clean",IF(L34=0,"T2_FullUnpaid","T3_Mismatch")))</f>
        <v/>
      </c>
      <c r="P34">
        <f>I34</f>
        <v/>
      </c>
      <c r="Q34">
        <f>IF(LEFT(O34,2)="CM","See Tier Definitions for CM handling",IF(O34="T1_Clean",IF(P34="OK","Edit invoice to remove tax (immediate)","Edit blocked — requires period unlock by accounting"),IF(O34="T2_FullUnpaid","Hold for accounting decision: remove now or wait for payment",IF(O34="T3_Mismatch","Manual investigation of payment trail in NetSuite required",IF(O34="T0_NoTax","Tax not on invoice — flag back to accounting (collection or other issue)","")))))</f>
        <v/>
      </c>
      <c r="R34" s="8" t="inlineStr">
        <is>
          <t>Sales Tax - Received exemption certificate, will resolve shortly</t>
        </is>
      </c>
    </row>
    <row r="35">
      <c r="A35" t="n">
        <v>370607</v>
      </c>
      <c r="B35" t="inlineStr">
        <is>
          <t>INV677626</t>
        </is>
      </c>
      <c r="C35" t="inlineStr">
        <is>
          <t>CustInvc</t>
        </is>
      </c>
      <c r="D35" t="inlineStr">
        <is>
          <t>1727</t>
        </is>
      </c>
      <c r="E35" t="inlineStr">
        <is>
          <t>Heath Hollis (Burkhart)</t>
        </is>
      </c>
      <c r="F35" s="15" t="n">
        <v>45975</v>
      </c>
      <c r="G35" s="15" t="n">
        <v>46005</v>
      </c>
      <c r="H35">
        <f>IFERROR(INDEX('Period Status'!$A$2:$A$16,MATCH(1,(F35&gt;='Period Status'!$C$2:$C$16)*(F35&lt;='Period Status'!$D$2:$D$16),0)),"?")</f>
        <v/>
      </c>
      <c r="I35">
        <f>IFERROR(VLOOKUP(H35,'Period Status'!$A$2:$I$16,9,FALSE),"?")</f>
        <v/>
      </c>
      <c r="J35" s="7" t="n">
        <v>67.34999999999999</v>
      </c>
      <c r="K35" s="7" t="n">
        <v>5.14</v>
      </c>
      <c r="L35" s="7">
        <f>ROUND(J35-K35,2)</f>
        <v/>
      </c>
      <c r="M35" s="11" t="n">
        <v>5.14</v>
      </c>
      <c r="N35" s="7">
        <f>ROUND(K35-M35,2)</f>
        <v/>
      </c>
      <c r="O35">
        <f>IF(M35=0,"T0_NoTax",IF(ABS(K35-M35)&lt;0.01,"T1_Clean",IF(L35=0,"T2_FullUnpaid","T3_Mismatch")))</f>
        <v/>
      </c>
      <c r="P35">
        <f>I35</f>
        <v/>
      </c>
      <c r="Q35">
        <f>IF(LEFT(O35,2)="CM","See Tier Definitions for CM handling",IF(O35="T1_Clean",IF(P35="OK","Edit invoice to remove tax (immediate)","Edit blocked — requires period unlock by accounting"),IF(O35="T2_FullUnpaid","Hold for accounting decision: remove now or wait for payment",IF(O35="T3_Mismatch","Manual investigation of payment trail in NetSuite required",IF(O35="T0_NoTax","Tax not on invoice — flag back to accounting (collection or other issue)","")))))</f>
        <v/>
      </c>
      <c r="R35" s="8" t="inlineStr">
        <is>
          <t>Sales Tax - Received exemption certificate, will resolve shortly</t>
        </is>
      </c>
    </row>
    <row r="36">
      <c r="A36" t="n">
        <v>385492</v>
      </c>
      <c r="B36" t="inlineStr">
        <is>
          <t>INV678085</t>
        </is>
      </c>
      <c r="C36" t="inlineStr">
        <is>
          <t>CustInvc</t>
        </is>
      </c>
      <c r="D36" t="inlineStr">
        <is>
          <t>1727</t>
        </is>
      </c>
      <c r="E36" t="inlineStr">
        <is>
          <t>Heath Hollis (Burkhart)</t>
        </is>
      </c>
      <c r="F36" s="15" t="n">
        <v>45982</v>
      </c>
      <c r="G36" s="15" t="n">
        <v>46012</v>
      </c>
      <c r="H36">
        <f>IFERROR(INDEX('Period Status'!$A$2:$A$16,MATCH(1,(F36&gt;='Period Status'!$C$2:$C$16)*(F36&lt;='Period Status'!$D$2:$D$16),0)),"?")</f>
        <v/>
      </c>
      <c r="I36">
        <f>IFERROR(VLOOKUP(H36,'Period Status'!$A$2:$I$16,9,FALSE),"?")</f>
        <v/>
      </c>
      <c r="J36" s="7" t="n">
        <v>80.44</v>
      </c>
      <c r="K36" s="7" t="n">
        <v>1.58</v>
      </c>
      <c r="L36" s="7">
        <f>ROUND(J36-K36,2)</f>
        <v/>
      </c>
      <c r="M36" s="11" t="n">
        <v>1.58</v>
      </c>
      <c r="N36" s="7">
        <f>ROUND(K36-M36,2)</f>
        <v/>
      </c>
      <c r="O36">
        <f>IF(M36=0,"T0_NoTax",IF(ABS(K36-M36)&lt;0.01,"T1_Clean",IF(L36=0,"T2_FullUnpaid","T3_Mismatch")))</f>
        <v/>
      </c>
      <c r="P36">
        <f>I36</f>
        <v/>
      </c>
      <c r="Q36">
        <f>IF(LEFT(O36,2)="CM","See Tier Definitions for CM handling",IF(O36="T1_Clean",IF(P36="OK","Edit invoice to remove tax (immediate)","Edit blocked — requires period unlock by accounting"),IF(O36="T2_FullUnpaid","Hold for accounting decision: remove now or wait for payment",IF(O36="T3_Mismatch","Manual investigation of payment trail in NetSuite required",IF(O36="T0_NoTax","Tax not on invoice — flag back to accounting (collection or other issue)","")))))</f>
        <v/>
      </c>
      <c r="R36" s="8" t="inlineStr">
        <is>
          <t>Sales Tax - Received exemption certificate, will resolve shortly</t>
        </is>
      </c>
    </row>
    <row r="37">
      <c r="A37" t="n">
        <v>385494</v>
      </c>
      <c r="B37" t="inlineStr">
        <is>
          <t>INV678087</t>
        </is>
      </c>
      <c r="C37" t="inlineStr">
        <is>
          <t>CustInvc</t>
        </is>
      </c>
      <c r="D37" t="inlineStr">
        <is>
          <t>1727</t>
        </is>
      </c>
      <c r="E37" t="inlineStr">
        <is>
          <t>Heath Hollis (Burkhart)</t>
        </is>
      </c>
      <c r="F37" s="15" t="n">
        <v>45982</v>
      </c>
      <c r="G37" s="15" t="n">
        <v>46012</v>
      </c>
      <c r="H37">
        <f>IFERROR(INDEX('Period Status'!$A$2:$A$16,MATCH(1,(F37&gt;='Period Status'!$C$2:$C$16)*(F37&lt;='Period Status'!$D$2:$D$16),0)),"?")</f>
        <v/>
      </c>
      <c r="I37">
        <f>IFERROR(VLOOKUP(H37,'Period Status'!$A$2:$I$16,9,FALSE),"?")</f>
        <v/>
      </c>
      <c r="J37" s="7" t="n">
        <v>774.36</v>
      </c>
      <c r="K37" s="7" t="n">
        <v>60.92</v>
      </c>
      <c r="L37" s="7">
        <f>ROUND(J37-K37,2)</f>
        <v/>
      </c>
      <c r="M37" s="11" t="n">
        <v>60.92</v>
      </c>
      <c r="N37" s="7">
        <f>ROUND(K37-M37,2)</f>
        <v/>
      </c>
      <c r="O37">
        <f>IF(M37=0,"T0_NoTax",IF(ABS(K37-M37)&lt;0.01,"T1_Clean",IF(L37=0,"T2_FullUnpaid","T3_Mismatch")))</f>
        <v/>
      </c>
      <c r="P37">
        <f>I37</f>
        <v/>
      </c>
      <c r="Q37">
        <f>IF(LEFT(O37,2)="CM","See Tier Definitions for CM handling",IF(O37="T1_Clean",IF(P37="OK","Edit invoice to remove tax (immediate)","Edit blocked — requires period unlock by accounting"),IF(O37="T2_FullUnpaid","Hold for accounting decision: remove now or wait for payment",IF(O37="T3_Mismatch","Manual investigation of payment trail in NetSuite required",IF(O37="T0_NoTax","Tax not on invoice — flag back to accounting (collection or other issue)","")))))</f>
        <v/>
      </c>
      <c r="R37" s="8" t="inlineStr">
        <is>
          <t>Sales Tax - Received exemption certificate, will resolve shortly</t>
        </is>
      </c>
    </row>
    <row r="38">
      <c r="A38" t="n">
        <v>401602</v>
      </c>
      <c r="B38" t="inlineStr">
        <is>
          <t>INV678444</t>
        </is>
      </c>
      <c r="C38" t="inlineStr">
        <is>
          <t>CustInvc</t>
        </is>
      </c>
      <c r="D38" t="inlineStr">
        <is>
          <t>1727</t>
        </is>
      </c>
      <c r="E38" t="inlineStr">
        <is>
          <t>Heath Hollis (Burkhart)</t>
        </is>
      </c>
      <c r="F38" s="15" t="n">
        <v>45992</v>
      </c>
      <c r="G38" s="15" t="n">
        <v>46022</v>
      </c>
      <c r="H38">
        <f>IFERROR(INDEX('Period Status'!$A$2:$A$16,MATCH(1,(F38&gt;='Period Status'!$C$2:$C$16)*(F38&lt;='Period Status'!$D$2:$D$16),0)),"?")</f>
        <v/>
      </c>
      <c r="I38">
        <f>IFERROR(VLOOKUP(H38,'Period Status'!$A$2:$I$16,9,FALSE),"?")</f>
        <v/>
      </c>
      <c r="J38" s="7" t="n">
        <v>211.23</v>
      </c>
      <c r="K38" s="7" t="n">
        <v>5.32</v>
      </c>
      <c r="L38" s="7">
        <f>ROUND(J38-K38,2)</f>
        <v/>
      </c>
      <c r="M38" s="11" t="n">
        <v>5.32</v>
      </c>
      <c r="N38" s="7">
        <f>ROUND(K38-M38,2)</f>
        <v/>
      </c>
      <c r="O38">
        <f>IF(M38=0,"T0_NoTax",IF(ABS(K38-M38)&lt;0.01,"T1_Clean",IF(L38=0,"T2_FullUnpaid","T3_Mismatch")))</f>
        <v/>
      </c>
      <c r="P38">
        <f>I38</f>
        <v/>
      </c>
      <c r="Q38">
        <f>IF(LEFT(O38,2)="CM","See Tier Definitions for CM handling",IF(O38="T1_Clean",IF(P38="OK","Edit invoice to remove tax (immediate)","Edit blocked — requires period unlock by accounting"),IF(O38="T2_FullUnpaid","Hold for accounting decision: remove now or wait for payment",IF(O38="T3_Mismatch","Manual investigation of payment trail in NetSuite required",IF(O38="T0_NoTax","Tax not on invoice — flag back to accounting (collection or other issue)","")))))</f>
        <v/>
      </c>
      <c r="R38" s="8" t="inlineStr">
        <is>
          <t>Sales Tax - Received exemption certificate, will resolve shortly</t>
        </is>
      </c>
    </row>
    <row r="39">
      <c r="A39" t="n">
        <v>401614</v>
      </c>
      <c r="B39" t="inlineStr">
        <is>
          <t>INV678455</t>
        </is>
      </c>
      <c r="C39" t="inlineStr">
        <is>
          <t>CustInvc</t>
        </is>
      </c>
      <c r="D39" t="inlineStr">
        <is>
          <t>1727</t>
        </is>
      </c>
      <c r="E39" t="inlineStr">
        <is>
          <t>Heath Hollis (Burkhart)</t>
        </is>
      </c>
      <c r="F39" s="15" t="n">
        <v>45992</v>
      </c>
      <c r="G39" s="15" t="n">
        <v>46022</v>
      </c>
      <c r="H39">
        <f>IFERROR(INDEX('Period Status'!$A$2:$A$16,MATCH(1,(F39&gt;='Period Status'!$C$2:$C$16)*(F39&lt;='Period Status'!$D$2:$D$16),0)),"?")</f>
        <v/>
      </c>
      <c r="I39">
        <f>IFERROR(VLOOKUP(H39,'Period Status'!$A$2:$I$16,9,FALSE),"?")</f>
        <v/>
      </c>
      <c r="J39" s="7" t="n">
        <v>166.69</v>
      </c>
      <c r="K39" s="7" t="n">
        <v>12.81</v>
      </c>
      <c r="L39" s="7">
        <f>ROUND(J39-K39,2)</f>
        <v/>
      </c>
      <c r="M39" s="11" t="n">
        <v>12.81</v>
      </c>
      <c r="N39" s="7">
        <f>ROUND(K39-M39,2)</f>
        <v/>
      </c>
      <c r="O39">
        <f>IF(M39=0,"T0_NoTax",IF(ABS(K39-M39)&lt;0.01,"T1_Clean",IF(L39=0,"T2_FullUnpaid","T3_Mismatch")))</f>
        <v/>
      </c>
      <c r="P39">
        <f>I39</f>
        <v/>
      </c>
      <c r="Q39">
        <f>IF(LEFT(O39,2)="CM","See Tier Definitions for CM handling",IF(O39="T1_Clean",IF(P39="OK","Edit invoice to remove tax (immediate)","Edit blocked — requires period unlock by accounting"),IF(O39="T2_FullUnpaid","Hold for accounting decision: remove now or wait for payment",IF(O39="T3_Mismatch","Manual investigation of payment trail in NetSuite required",IF(O39="T0_NoTax","Tax not on invoice — flag back to accounting (collection or other issue)","")))))</f>
        <v/>
      </c>
      <c r="R39" s="8" t="inlineStr">
        <is>
          <t>Sales Tax - Received exemption certificate, will resolve shortly</t>
        </is>
      </c>
    </row>
    <row r="40">
      <c r="A40" t="n">
        <v>413787</v>
      </c>
      <c r="B40" t="inlineStr">
        <is>
          <t>INV678750</t>
        </is>
      </c>
      <c r="C40" t="inlineStr">
        <is>
          <t>CustInvc</t>
        </is>
      </c>
      <c r="D40" t="inlineStr">
        <is>
          <t>1727</t>
        </is>
      </c>
      <c r="E40" t="inlineStr">
        <is>
          <t>Heath Hollis (Burkhart)</t>
        </is>
      </c>
      <c r="F40" s="15" t="n">
        <v>45996</v>
      </c>
      <c r="G40" s="15" t="n">
        <v>46026</v>
      </c>
      <c r="H40">
        <f>IFERROR(INDEX('Period Status'!$A$2:$A$16,MATCH(1,(F40&gt;='Period Status'!$C$2:$C$16)*(F40&lt;='Period Status'!$D$2:$D$16),0)),"?")</f>
        <v/>
      </c>
      <c r="I40">
        <f>IFERROR(VLOOKUP(H40,'Period Status'!$A$2:$I$16,9,FALSE),"?")</f>
        <v/>
      </c>
      <c r="J40" s="7" t="n">
        <v>75.63</v>
      </c>
      <c r="K40" s="7" t="n">
        <v>1.25</v>
      </c>
      <c r="L40" s="7">
        <f>ROUND(J40-K40,2)</f>
        <v/>
      </c>
      <c r="M40" s="11" t="n">
        <v>1.25</v>
      </c>
      <c r="N40" s="7">
        <f>ROUND(K40-M40,2)</f>
        <v/>
      </c>
      <c r="O40">
        <f>IF(M40=0,"T0_NoTax",IF(ABS(K40-M40)&lt;0.01,"T1_Clean",IF(L40=0,"T2_FullUnpaid","T3_Mismatch")))</f>
        <v/>
      </c>
      <c r="P40">
        <f>I40</f>
        <v/>
      </c>
      <c r="Q40">
        <f>IF(LEFT(O40,2)="CM","See Tier Definitions for CM handling",IF(O40="T1_Clean",IF(P40="OK","Edit invoice to remove tax (immediate)","Edit blocked — requires period unlock by accounting"),IF(O40="T2_FullUnpaid","Hold for accounting decision: remove now or wait for payment",IF(O40="T3_Mismatch","Manual investigation of payment trail in NetSuite required",IF(O40="T0_NoTax","Tax not on invoice — flag back to accounting (collection or other issue)","")))))</f>
        <v/>
      </c>
      <c r="R40" s="8" t="inlineStr">
        <is>
          <t>Sales Tax - Received exemption certificate, will resolve shortly</t>
        </is>
      </c>
    </row>
    <row r="41">
      <c r="A41" t="n">
        <v>417880</v>
      </c>
      <c r="B41" t="inlineStr">
        <is>
          <t>INV678826</t>
        </is>
      </c>
      <c r="C41" t="inlineStr">
        <is>
          <t>CustInvc</t>
        </is>
      </c>
      <c r="D41" t="inlineStr">
        <is>
          <t>1727</t>
        </is>
      </c>
      <c r="E41" t="inlineStr">
        <is>
          <t>Heath Hollis (Burkhart)</t>
        </is>
      </c>
      <c r="F41" s="15" t="n">
        <v>45999</v>
      </c>
      <c r="G41" s="15" t="n">
        <v>46029</v>
      </c>
      <c r="H41">
        <f>IFERROR(INDEX('Period Status'!$A$2:$A$16,MATCH(1,(F41&gt;='Period Status'!$C$2:$C$16)*(F41&lt;='Period Status'!$D$2:$D$16),0)),"?")</f>
        <v/>
      </c>
      <c r="I41">
        <f>IFERROR(VLOOKUP(H41,'Period Status'!$A$2:$I$16,9,FALSE),"?")</f>
        <v/>
      </c>
      <c r="J41" s="7" t="n">
        <v>571.39</v>
      </c>
      <c r="K41" s="7" t="n">
        <v>12.24</v>
      </c>
      <c r="L41" s="7">
        <f>ROUND(J41-K41,2)</f>
        <v/>
      </c>
      <c r="M41" s="11" t="n">
        <v>12.24</v>
      </c>
      <c r="N41" s="7">
        <f>ROUND(K41-M41,2)</f>
        <v/>
      </c>
      <c r="O41">
        <f>IF(M41=0,"T0_NoTax",IF(ABS(K41-M41)&lt;0.01,"T1_Clean",IF(L41=0,"T2_FullUnpaid","T3_Mismatch")))</f>
        <v/>
      </c>
      <c r="P41">
        <f>I41</f>
        <v/>
      </c>
      <c r="Q41">
        <f>IF(LEFT(O41,2)="CM","See Tier Definitions for CM handling",IF(O41="T1_Clean",IF(P41="OK","Edit invoice to remove tax (immediate)","Edit blocked — requires period unlock by accounting"),IF(O41="T2_FullUnpaid","Hold for accounting decision: remove now or wait for payment",IF(O41="T3_Mismatch","Manual investigation of payment trail in NetSuite required",IF(O41="T0_NoTax","Tax not on invoice — flag back to accounting (collection or other issue)","")))))</f>
        <v/>
      </c>
      <c r="R41" s="8" t="inlineStr">
        <is>
          <t>Sales Tax - Received exemption certificate, will resolve shortly</t>
        </is>
      </c>
    </row>
    <row r="42">
      <c r="A42" t="n">
        <v>430343</v>
      </c>
      <c r="B42" t="inlineStr">
        <is>
          <t>INV679152</t>
        </is>
      </c>
      <c r="C42" t="inlineStr">
        <is>
          <t>CustInvc</t>
        </is>
      </c>
      <c r="D42" t="inlineStr">
        <is>
          <t>1727</t>
        </is>
      </c>
      <c r="E42" t="inlineStr">
        <is>
          <t>Heath Hollis (Burkhart)</t>
        </is>
      </c>
      <c r="F42" s="15" t="n">
        <v>46003</v>
      </c>
      <c r="G42" s="15" t="n">
        <v>46033</v>
      </c>
      <c r="H42">
        <f>IFERROR(INDEX('Period Status'!$A$2:$A$16,MATCH(1,(F42&gt;='Period Status'!$C$2:$C$16)*(F42&lt;='Period Status'!$D$2:$D$16),0)),"?")</f>
        <v/>
      </c>
      <c r="I42">
        <f>IFERROR(VLOOKUP(H42,'Period Status'!$A$2:$I$16,9,FALSE),"?")</f>
        <v/>
      </c>
      <c r="J42" s="7" t="n">
        <v>130.65</v>
      </c>
      <c r="K42" s="7" t="n">
        <v>8.720000000000001</v>
      </c>
      <c r="L42" s="7">
        <f>ROUND(J42-K42,2)</f>
        <v/>
      </c>
      <c r="M42" s="11" t="n">
        <v>8.720000000000001</v>
      </c>
      <c r="N42" s="7">
        <f>ROUND(K42-M42,2)</f>
        <v/>
      </c>
      <c r="O42">
        <f>IF(M42=0,"T0_NoTax",IF(ABS(K42-M42)&lt;0.01,"T1_Clean",IF(L42=0,"T2_FullUnpaid","T3_Mismatch")))</f>
        <v/>
      </c>
      <c r="P42">
        <f>I42</f>
        <v/>
      </c>
      <c r="Q42">
        <f>IF(LEFT(O42,2)="CM","See Tier Definitions for CM handling",IF(O42="T1_Clean",IF(P42="OK","Edit invoice to remove tax (immediate)","Edit blocked — requires period unlock by accounting"),IF(O42="T2_FullUnpaid","Hold for accounting decision: remove now or wait for payment",IF(O42="T3_Mismatch","Manual investigation of payment trail in NetSuite required",IF(O42="T0_NoTax","Tax not on invoice — flag back to accounting (collection or other issue)","")))))</f>
        <v/>
      </c>
      <c r="R42" s="8" t="inlineStr">
        <is>
          <t>Sales Tax - Received exemption certificate, will resolve shortly</t>
        </is>
      </c>
    </row>
    <row r="43">
      <c r="A43" t="n">
        <v>434740</v>
      </c>
      <c r="B43" t="inlineStr">
        <is>
          <t>INV679234</t>
        </is>
      </c>
      <c r="C43" t="inlineStr">
        <is>
          <t>CustInvc</t>
        </is>
      </c>
      <c r="D43" t="inlineStr">
        <is>
          <t>1727</t>
        </is>
      </c>
      <c r="E43" t="inlineStr">
        <is>
          <t>Heath Hollis (Burkhart)</t>
        </is>
      </c>
      <c r="F43" s="15" t="n">
        <v>46006</v>
      </c>
      <c r="G43" s="15" t="n">
        <v>46036</v>
      </c>
      <c r="H43">
        <f>IFERROR(INDEX('Period Status'!$A$2:$A$16,MATCH(1,(F43&gt;='Period Status'!$C$2:$C$16)*(F43&lt;='Period Status'!$D$2:$D$16),0)),"?")</f>
        <v/>
      </c>
      <c r="I43">
        <f>IFERROR(VLOOKUP(H43,'Period Status'!$A$2:$I$16,9,FALSE),"?")</f>
        <v/>
      </c>
      <c r="J43" s="7" t="n">
        <v>337.01</v>
      </c>
      <c r="K43" s="7" t="n">
        <v>21.37</v>
      </c>
      <c r="L43" s="7">
        <f>ROUND(J43-K43,2)</f>
        <v/>
      </c>
      <c r="M43" s="11" t="n">
        <v>21.37</v>
      </c>
      <c r="N43" s="7">
        <f>ROUND(K43-M43,2)</f>
        <v/>
      </c>
      <c r="O43">
        <f>IF(M43=0,"T0_NoTax",IF(ABS(K43-M43)&lt;0.01,"T1_Clean",IF(L43=0,"T2_FullUnpaid","T3_Mismatch")))</f>
        <v/>
      </c>
      <c r="P43">
        <f>I43</f>
        <v/>
      </c>
      <c r="Q43">
        <f>IF(LEFT(O43,2)="CM","See Tier Definitions for CM handling",IF(O43="T1_Clean",IF(P43="OK","Edit invoice to remove tax (immediate)","Edit blocked — requires period unlock by accounting"),IF(O43="T2_FullUnpaid","Hold for accounting decision: remove now or wait for payment",IF(O43="T3_Mismatch","Manual investigation of payment trail in NetSuite required",IF(O43="T0_NoTax","Tax not on invoice — flag back to accounting (collection or other issue)","")))))</f>
        <v/>
      </c>
      <c r="R43" s="8" t="inlineStr">
        <is>
          <t>Sales Tax - Received exemption certificate, will resolve shortly</t>
        </is>
      </c>
    </row>
    <row r="44">
      <c r="A44" t="n">
        <v>440844</v>
      </c>
      <c r="B44" t="inlineStr">
        <is>
          <t>INV679367</t>
        </is>
      </c>
      <c r="C44" t="inlineStr">
        <is>
          <t>CustInvc</t>
        </is>
      </c>
      <c r="D44" t="inlineStr">
        <is>
          <t>1727</t>
        </is>
      </c>
      <c r="E44" t="inlineStr">
        <is>
          <t>Heath Hollis (Burkhart)</t>
        </is>
      </c>
      <c r="F44" s="15" t="n">
        <v>46009</v>
      </c>
      <c r="G44" s="15" t="n">
        <v>46039</v>
      </c>
      <c r="H44">
        <f>IFERROR(INDEX('Period Status'!$A$2:$A$16,MATCH(1,(F44&gt;='Period Status'!$C$2:$C$16)*(F44&lt;='Period Status'!$D$2:$D$16),0)),"?")</f>
        <v/>
      </c>
      <c r="I44">
        <f>IFERROR(VLOOKUP(H44,'Period Status'!$A$2:$I$16,9,FALSE),"?")</f>
        <v/>
      </c>
      <c r="J44" s="7" t="n">
        <v>36.28</v>
      </c>
      <c r="K44" s="7" t="n">
        <v>3.39</v>
      </c>
      <c r="L44" s="7">
        <f>ROUND(J44-K44,2)</f>
        <v/>
      </c>
      <c r="M44" s="11" t="n">
        <v>3.39</v>
      </c>
      <c r="N44" s="7">
        <f>ROUND(K44-M44,2)</f>
        <v/>
      </c>
      <c r="O44">
        <f>IF(M44=0,"T0_NoTax",IF(ABS(K44-M44)&lt;0.01,"T1_Clean",IF(L44=0,"T2_FullUnpaid","T3_Mismatch")))</f>
        <v/>
      </c>
      <c r="P44">
        <f>I44</f>
        <v/>
      </c>
      <c r="Q44">
        <f>IF(LEFT(O44,2)="CM","See Tier Definitions for CM handling",IF(O44="T1_Clean",IF(P44="OK","Edit invoice to remove tax (immediate)","Edit blocked — requires period unlock by accounting"),IF(O44="T2_FullUnpaid","Hold for accounting decision: remove now or wait for payment",IF(O44="T3_Mismatch","Manual investigation of payment trail in NetSuite required",IF(O44="T0_NoTax","Tax not on invoice — flag back to accounting (collection or other issue)","")))))</f>
        <v/>
      </c>
      <c r="R44" s="8" t="inlineStr">
        <is>
          <t>Sales Tax - Received exemption certificate, will resolve shortly</t>
        </is>
      </c>
    </row>
    <row r="45">
      <c r="A45" t="n">
        <v>444279</v>
      </c>
      <c r="B45" t="inlineStr">
        <is>
          <t>INV679490</t>
        </is>
      </c>
      <c r="C45" t="inlineStr">
        <is>
          <t>CustInvc</t>
        </is>
      </c>
      <c r="D45" t="inlineStr">
        <is>
          <t>1727</t>
        </is>
      </c>
      <c r="E45" t="inlineStr">
        <is>
          <t>Heath Hollis (Burkhart)</t>
        </is>
      </c>
      <c r="F45" s="15" t="n">
        <v>46010</v>
      </c>
      <c r="G45" s="15" t="n">
        <v>46040</v>
      </c>
      <c r="H45">
        <f>IFERROR(INDEX('Period Status'!$A$2:$A$16,MATCH(1,(F45&gt;='Period Status'!$C$2:$C$16)*(F45&lt;='Period Status'!$D$2:$D$16),0)),"?")</f>
        <v/>
      </c>
      <c r="I45">
        <f>IFERROR(VLOOKUP(H45,'Period Status'!$A$2:$I$16,9,FALSE),"?")</f>
        <v/>
      </c>
      <c r="J45" s="7" t="n">
        <v>92.64</v>
      </c>
      <c r="K45" s="7" t="n">
        <v>7.08</v>
      </c>
      <c r="L45" s="7">
        <f>ROUND(J45-K45,2)</f>
        <v/>
      </c>
      <c r="M45" s="11" t="n">
        <v>7.08</v>
      </c>
      <c r="N45" s="7">
        <f>ROUND(K45-M45,2)</f>
        <v/>
      </c>
      <c r="O45">
        <f>IF(M45=0,"T0_NoTax",IF(ABS(K45-M45)&lt;0.01,"T1_Clean",IF(L45=0,"T2_FullUnpaid","T3_Mismatch")))</f>
        <v/>
      </c>
      <c r="P45">
        <f>I45</f>
        <v/>
      </c>
      <c r="Q45">
        <f>IF(LEFT(O45,2)="CM","See Tier Definitions for CM handling",IF(O45="T1_Clean",IF(P45="OK","Edit invoice to remove tax (immediate)","Edit blocked — requires period unlock by accounting"),IF(O45="T2_FullUnpaid","Hold for accounting decision: remove now or wait for payment",IF(O45="T3_Mismatch","Manual investigation of payment trail in NetSuite required",IF(O45="T0_NoTax","Tax not on invoice — flag back to accounting (collection or other issue)","")))))</f>
        <v/>
      </c>
      <c r="R45" s="8" t="inlineStr">
        <is>
          <t>Sales Tax - Received exemption certificate, will resolve shortly</t>
        </is>
      </c>
    </row>
    <row r="46">
      <c r="A46" t="n">
        <v>445415</v>
      </c>
      <c r="B46" t="inlineStr">
        <is>
          <t>INV679507</t>
        </is>
      </c>
      <c r="C46" t="inlineStr">
        <is>
          <t>CustInvc</t>
        </is>
      </c>
      <c r="D46" t="inlineStr">
        <is>
          <t>1727</t>
        </is>
      </c>
      <c r="E46" t="inlineStr">
        <is>
          <t>Heath Hollis (Burkhart)</t>
        </is>
      </c>
      <c r="F46" s="15" t="n">
        <v>46010</v>
      </c>
      <c r="G46" s="15" t="n">
        <v>46040</v>
      </c>
      <c r="H46">
        <f>IFERROR(INDEX('Period Status'!$A$2:$A$16,MATCH(1,(F46&gt;='Period Status'!$C$2:$C$16)*(F46&lt;='Period Status'!$D$2:$D$16),0)),"?")</f>
        <v/>
      </c>
      <c r="I46">
        <f>IFERROR(VLOOKUP(H46,'Period Status'!$A$2:$I$16,9,FALSE),"?")</f>
        <v/>
      </c>
      <c r="J46" s="7" t="n">
        <v>706.35</v>
      </c>
      <c r="K46" s="7" t="n">
        <v>52.94</v>
      </c>
      <c r="L46" s="7">
        <f>ROUND(J46-K46,2)</f>
        <v/>
      </c>
      <c r="M46" s="11" t="n">
        <v>52.94</v>
      </c>
      <c r="N46" s="7">
        <f>ROUND(K46-M46,2)</f>
        <v/>
      </c>
      <c r="O46">
        <f>IF(M46=0,"T0_NoTax",IF(ABS(K46-M46)&lt;0.01,"T1_Clean",IF(L46=0,"T2_FullUnpaid","T3_Mismatch")))</f>
        <v/>
      </c>
      <c r="P46">
        <f>I46</f>
        <v/>
      </c>
      <c r="Q46">
        <f>IF(LEFT(O46,2)="CM","See Tier Definitions for CM handling",IF(O46="T1_Clean",IF(P46="OK","Edit invoice to remove tax (immediate)","Edit blocked — requires period unlock by accounting"),IF(O46="T2_FullUnpaid","Hold for accounting decision: remove now or wait for payment",IF(O46="T3_Mismatch","Manual investigation of payment trail in NetSuite required",IF(O46="T0_NoTax","Tax not on invoice — flag back to accounting (collection or other issue)","")))))</f>
        <v/>
      </c>
      <c r="R46" s="8" t="inlineStr">
        <is>
          <t>Sales Tax - Received exemption certificate, will resolve shortly</t>
        </is>
      </c>
    </row>
    <row r="47">
      <c r="A47" t="n">
        <v>461317</v>
      </c>
      <c r="B47" t="inlineStr">
        <is>
          <t>INV679846</t>
        </is>
      </c>
      <c r="C47" t="inlineStr">
        <is>
          <t>CustInvc</t>
        </is>
      </c>
      <c r="D47" t="inlineStr">
        <is>
          <t>1727</t>
        </is>
      </c>
      <c r="E47" t="inlineStr">
        <is>
          <t>Heath Hollis (Burkhart)</t>
        </is>
      </c>
      <c r="F47" s="15" t="n">
        <v>46024</v>
      </c>
      <c r="G47" s="15" t="n">
        <v>46054</v>
      </c>
      <c r="H47">
        <f>IFERROR(INDEX('Period Status'!$A$2:$A$16,MATCH(1,(F47&gt;='Period Status'!$C$2:$C$16)*(F47&lt;='Period Status'!$D$2:$D$16),0)),"?")</f>
        <v/>
      </c>
      <c r="I47">
        <f>IFERROR(VLOOKUP(H47,'Period Status'!$A$2:$I$16,9,FALSE),"?")</f>
        <v/>
      </c>
      <c r="J47" s="7" t="n">
        <v>37.55</v>
      </c>
      <c r="K47" s="7" t="n">
        <v>3.51</v>
      </c>
      <c r="L47" s="7">
        <f>ROUND(J47-K47,2)</f>
        <v/>
      </c>
      <c r="M47" s="11" t="n">
        <v>3.51</v>
      </c>
      <c r="N47" s="7">
        <f>ROUND(K47-M47,2)</f>
        <v/>
      </c>
      <c r="O47">
        <f>IF(M47=0,"T0_NoTax",IF(ABS(K47-M47)&lt;0.01,"T1_Clean",IF(L47=0,"T2_FullUnpaid","T3_Mismatch")))</f>
        <v/>
      </c>
      <c r="P47">
        <f>I47</f>
        <v/>
      </c>
      <c r="Q47">
        <f>IF(LEFT(O47,2)="CM","See Tier Definitions for CM handling",IF(O47="T1_Clean",IF(P47="OK","Edit invoice to remove tax (immediate)","Edit blocked — requires period unlock by accounting"),IF(O47="T2_FullUnpaid","Hold for accounting decision: remove now or wait for payment",IF(O47="T3_Mismatch","Manual investigation of payment trail in NetSuite required",IF(O47="T0_NoTax","Tax not on invoice — flag back to accounting (collection or other issue)","")))))</f>
        <v/>
      </c>
      <c r="R47" s="8" t="inlineStr">
        <is>
          <t>Sales Tax - Received exemption certificate, will resolve shortly</t>
        </is>
      </c>
    </row>
    <row r="48">
      <c r="A48" t="n">
        <v>461322</v>
      </c>
      <c r="B48" t="inlineStr">
        <is>
          <t>INV679851</t>
        </is>
      </c>
      <c r="C48" t="inlineStr">
        <is>
          <t>CustInvc</t>
        </is>
      </c>
      <c r="D48" t="inlineStr">
        <is>
          <t>1727</t>
        </is>
      </c>
      <c r="E48" t="inlineStr">
        <is>
          <t>Heath Hollis (Burkhart)</t>
        </is>
      </c>
      <c r="F48" s="15" t="n">
        <v>46024</v>
      </c>
      <c r="G48" s="15" t="n">
        <v>46054</v>
      </c>
      <c r="H48">
        <f>IFERROR(INDEX('Period Status'!$A$2:$A$16,MATCH(1,(F48&gt;='Period Status'!$C$2:$C$16)*(F48&lt;='Period Status'!$D$2:$D$16),0)),"?")</f>
        <v/>
      </c>
      <c r="I48">
        <f>IFERROR(VLOOKUP(H48,'Period Status'!$A$2:$I$16,9,FALSE),"?")</f>
        <v/>
      </c>
      <c r="J48" s="7" t="n">
        <v>44.83</v>
      </c>
      <c r="K48" s="7" t="n">
        <v>1.25</v>
      </c>
      <c r="L48" s="7">
        <f>ROUND(J48-K48,2)</f>
        <v/>
      </c>
      <c r="M48" s="11" t="n">
        <v>1.25</v>
      </c>
      <c r="N48" s="7">
        <f>ROUND(K48-M48,2)</f>
        <v/>
      </c>
      <c r="O48">
        <f>IF(M48=0,"T0_NoTax",IF(ABS(K48-M48)&lt;0.01,"T1_Clean",IF(L48=0,"T2_FullUnpaid","T3_Mismatch")))</f>
        <v/>
      </c>
      <c r="P48">
        <f>I48</f>
        <v/>
      </c>
      <c r="Q48">
        <f>IF(LEFT(O48,2)="CM","See Tier Definitions for CM handling",IF(O48="T1_Clean",IF(P48="OK","Edit invoice to remove tax (immediate)","Edit blocked — requires period unlock by accounting"),IF(O48="T2_FullUnpaid","Hold for accounting decision: remove now or wait for payment",IF(O48="T3_Mismatch","Manual investigation of payment trail in NetSuite required",IF(O48="T0_NoTax","Tax not on invoice — flag back to accounting (collection or other issue)","")))))</f>
        <v/>
      </c>
      <c r="R48" s="8" t="inlineStr">
        <is>
          <t>Sales Tax - Received exemption certificate, will resolve shortly</t>
        </is>
      </c>
    </row>
    <row r="49">
      <c r="A49" t="n">
        <v>483387</v>
      </c>
      <c r="B49" t="inlineStr">
        <is>
          <t>INV680613</t>
        </is>
      </c>
      <c r="C49" t="inlineStr">
        <is>
          <t>CustInvc</t>
        </is>
      </c>
      <c r="D49" t="inlineStr">
        <is>
          <t>1727</t>
        </is>
      </c>
      <c r="E49" t="inlineStr">
        <is>
          <t>Heath Hollis (Burkhart)</t>
        </is>
      </c>
      <c r="F49" s="15" t="n">
        <v>46036</v>
      </c>
      <c r="G49" s="15" t="n">
        <v>46066</v>
      </c>
      <c r="H49">
        <f>IFERROR(INDEX('Period Status'!$A$2:$A$16,MATCH(1,(F49&gt;='Period Status'!$C$2:$C$16)*(F49&lt;='Period Status'!$D$2:$D$16),0)),"?")</f>
        <v/>
      </c>
      <c r="I49">
        <f>IFERROR(VLOOKUP(H49,'Period Status'!$A$2:$I$16,9,FALSE),"?")</f>
        <v/>
      </c>
      <c r="J49" s="7" t="n">
        <v>69.59999999999999</v>
      </c>
      <c r="K49" s="7" t="n">
        <v>5.3</v>
      </c>
      <c r="L49" s="7">
        <f>ROUND(J49-K49,2)</f>
        <v/>
      </c>
      <c r="M49" s="11" t="n">
        <v>5.3</v>
      </c>
      <c r="N49" s="7">
        <f>ROUND(K49-M49,2)</f>
        <v/>
      </c>
      <c r="O49">
        <f>IF(M49=0,"T0_NoTax",IF(ABS(K49-M49)&lt;0.01,"T1_Clean",IF(L49=0,"T2_FullUnpaid","T3_Mismatch")))</f>
        <v/>
      </c>
      <c r="P49">
        <f>I49</f>
        <v/>
      </c>
      <c r="Q49">
        <f>IF(LEFT(O49,2)="CM","See Tier Definitions for CM handling",IF(O49="T1_Clean",IF(P49="OK","Edit invoice to remove tax (immediate)","Edit blocked — requires period unlock by accounting"),IF(O49="T2_FullUnpaid","Hold for accounting decision: remove now or wait for payment",IF(O49="T3_Mismatch","Manual investigation of payment trail in NetSuite required",IF(O49="T0_NoTax","Tax not on invoice — flag back to accounting (collection or other issue)","")))))</f>
        <v/>
      </c>
      <c r="R49" s="8" t="inlineStr">
        <is>
          <t>Sales Tax - Received exemption certificate, will resolve shortly</t>
        </is>
      </c>
    </row>
    <row r="50">
      <c r="A50" t="n">
        <v>483395</v>
      </c>
      <c r="B50" t="inlineStr">
        <is>
          <t>INV680619</t>
        </is>
      </c>
      <c r="C50" t="inlineStr">
        <is>
          <t>CustInvc</t>
        </is>
      </c>
      <c r="D50" t="inlineStr">
        <is>
          <t>1727</t>
        </is>
      </c>
      <c r="E50" t="inlineStr">
        <is>
          <t>Heath Hollis (Burkhart)</t>
        </is>
      </c>
      <c r="F50" s="15" t="n">
        <v>46036</v>
      </c>
      <c r="G50" s="15" t="n">
        <v>46066</v>
      </c>
      <c r="H50">
        <f>IFERROR(INDEX('Period Status'!$A$2:$A$16,MATCH(1,(F50&gt;='Period Status'!$C$2:$C$16)*(F50&lt;='Period Status'!$D$2:$D$16),0)),"?")</f>
        <v/>
      </c>
      <c r="I50">
        <f>IFERROR(VLOOKUP(H50,'Period Status'!$A$2:$I$16,9,FALSE),"?")</f>
        <v/>
      </c>
      <c r="J50" s="7" t="n">
        <v>557.17</v>
      </c>
      <c r="K50" s="7" t="n">
        <v>23.44</v>
      </c>
      <c r="L50" s="7">
        <f>ROUND(J50-K50,2)</f>
        <v/>
      </c>
      <c r="M50" s="11" t="n">
        <v>23.44</v>
      </c>
      <c r="N50" s="7">
        <f>ROUND(K50-M50,2)</f>
        <v/>
      </c>
      <c r="O50">
        <f>IF(M50=0,"T0_NoTax",IF(ABS(K50-M50)&lt;0.01,"T1_Clean",IF(L50=0,"T2_FullUnpaid","T3_Mismatch")))</f>
        <v/>
      </c>
      <c r="P50">
        <f>I50</f>
        <v/>
      </c>
      <c r="Q50">
        <f>IF(LEFT(O50,2)="CM","See Tier Definitions for CM handling",IF(O50="T1_Clean",IF(P50="OK","Edit invoice to remove tax (immediate)","Edit blocked — requires period unlock by accounting"),IF(O50="T2_FullUnpaid","Hold for accounting decision: remove now or wait for payment",IF(O50="T3_Mismatch","Manual investigation of payment trail in NetSuite required",IF(O50="T0_NoTax","Tax not on invoice — flag back to accounting (collection or other issue)","")))))</f>
        <v/>
      </c>
      <c r="R50" s="8" t="inlineStr">
        <is>
          <t>Sales Tax - Received exemption certificate, will resolve shortly</t>
        </is>
      </c>
    </row>
    <row r="51">
      <c r="A51" t="n">
        <v>483404</v>
      </c>
      <c r="B51" t="inlineStr">
        <is>
          <t>INV680627</t>
        </is>
      </c>
      <c r="C51" t="inlineStr">
        <is>
          <t>CustInvc</t>
        </is>
      </c>
      <c r="D51" t="inlineStr">
        <is>
          <t>1727</t>
        </is>
      </c>
      <c r="E51" t="inlineStr">
        <is>
          <t>Heath Hollis (Burkhart)</t>
        </is>
      </c>
      <c r="F51" s="15" t="n">
        <v>46036</v>
      </c>
      <c r="G51" s="15" t="n">
        <v>46066</v>
      </c>
      <c r="H51">
        <f>IFERROR(INDEX('Period Status'!$A$2:$A$16,MATCH(1,(F51&gt;='Period Status'!$C$2:$C$16)*(F51&lt;='Period Status'!$D$2:$D$16),0)),"?")</f>
        <v/>
      </c>
      <c r="I51">
        <f>IFERROR(VLOOKUP(H51,'Period Status'!$A$2:$I$16,9,FALSE),"?")</f>
        <v/>
      </c>
      <c r="J51" s="7" t="n">
        <v>310.92</v>
      </c>
      <c r="K51" s="7" t="n">
        <v>23.04</v>
      </c>
      <c r="L51" s="7">
        <f>ROUND(J51-K51,2)</f>
        <v/>
      </c>
      <c r="M51" s="11" t="n">
        <v>23.04</v>
      </c>
      <c r="N51" s="7">
        <f>ROUND(K51-M51,2)</f>
        <v/>
      </c>
      <c r="O51">
        <f>IF(M51=0,"T0_NoTax",IF(ABS(K51-M51)&lt;0.01,"T1_Clean",IF(L51=0,"T2_FullUnpaid","T3_Mismatch")))</f>
        <v/>
      </c>
      <c r="P51">
        <f>I51</f>
        <v/>
      </c>
      <c r="Q51">
        <f>IF(LEFT(O51,2)="CM","See Tier Definitions for CM handling",IF(O51="T1_Clean",IF(P51="OK","Edit invoice to remove tax (immediate)","Edit blocked — requires period unlock by accounting"),IF(O51="T2_FullUnpaid","Hold for accounting decision: remove now or wait for payment",IF(O51="T3_Mismatch","Manual investigation of payment trail in NetSuite required",IF(O51="T0_NoTax","Tax not on invoice — flag back to accounting (collection or other issue)","")))))</f>
        <v/>
      </c>
      <c r="R51" s="8" t="inlineStr">
        <is>
          <t>Sales Tax - Received exemption certificate, will resolve shortly</t>
        </is>
      </c>
    </row>
    <row r="52">
      <c r="A52" t="n">
        <v>488863</v>
      </c>
      <c r="B52" t="inlineStr">
        <is>
          <t>INV680937</t>
        </is>
      </c>
      <c r="C52" t="inlineStr">
        <is>
          <t>CustInvc</t>
        </is>
      </c>
      <c r="D52" t="inlineStr">
        <is>
          <t>1727</t>
        </is>
      </c>
      <c r="E52" t="inlineStr">
        <is>
          <t>Heath Hollis (Burkhart)</t>
        </is>
      </c>
      <c r="F52" s="15" t="n">
        <v>46038</v>
      </c>
      <c r="G52" s="15" t="n">
        <v>46068</v>
      </c>
      <c r="H52">
        <f>IFERROR(INDEX('Period Status'!$A$2:$A$16,MATCH(1,(F52&gt;='Period Status'!$C$2:$C$16)*(F52&lt;='Period Status'!$D$2:$D$16),0)),"?")</f>
        <v/>
      </c>
      <c r="I52">
        <f>IFERROR(VLOOKUP(H52,'Period Status'!$A$2:$I$16,9,FALSE),"?")</f>
        <v/>
      </c>
      <c r="J52" s="7" t="n">
        <v>365.38</v>
      </c>
      <c r="K52" s="7" t="n">
        <v>32.13</v>
      </c>
      <c r="L52" s="7">
        <f>ROUND(J52-K52,2)</f>
        <v/>
      </c>
      <c r="M52" s="11" t="n">
        <v>32.13</v>
      </c>
      <c r="N52" s="7">
        <f>ROUND(K52-M52,2)</f>
        <v/>
      </c>
      <c r="O52">
        <f>IF(M52=0,"T0_NoTax",IF(ABS(K52-M52)&lt;0.01,"T1_Clean",IF(L52=0,"T2_FullUnpaid","T3_Mismatch")))</f>
        <v/>
      </c>
      <c r="P52">
        <f>I52</f>
        <v/>
      </c>
      <c r="Q52">
        <f>IF(LEFT(O52,2)="CM","See Tier Definitions for CM handling",IF(O52="T1_Clean",IF(P52="OK","Edit invoice to remove tax (immediate)","Edit blocked — requires period unlock by accounting"),IF(O52="T2_FullUnpaid","Hold for accounting decision: remove now or wait for payment",IF(O52="T3_Mismatch","Manual investigation of payment trail in NetSuite required",IF(O52="T0_NoTax","Tax not on invoice — flag back to accounting (collection or other issue)","")))))</f>
        <v/>
      </c>
      <c r="R52" s="8" t="inlineStr">
        <is>
          <t>Sales Tax - Received exemption certificate, will resolve shortly</t>
        </is>
      </c>
    </row>
    <row r="53">
      <c r="A53" t="n">
        <v>490302</v>
      </c>
      <c r="B53" t="inlineStr">
        <is>
          <t>INV681006</t>
        </is>
      </c>
      <c r="C53" t="inlineStr">
        <is>
          <t>CustInvc</t>
        </is>
      </c>
      <c r="D53" t="inlineStr">
        <is>
          <t>1727</t>
        </is>
      </c>
      <c r="E53" t="inlineStr">
        <is>
          <t>Heath Hollis (Burkhart)</t>
        </is>
      </c>
      <c r="F53" s="15" t="n">
        <v>46041</v>
      </c>
      <c r="G53" s="15" t="n">
        <v>46071</v>
      </c>
      <c r="H53">
        <f>IFERROR(INDEX('Period Status'!$A$2:$A$16,MATCH(1,(F53&gt;='Period Status'!$C$2:$C$16)*(F53&lt;='Period Status'!$D$2:$D$16),0)),"?")</f>
        <v/>
      </c>
      <c r="I53">
        <f>IFERROR(VLOOKUP(H53,'Period Status'!$A$2:$I$16,9,FALSE),"?")</f>
        <v/>
      </c>
      <c r="J53" s="7" t="n">
        <v>541.6900000000001</v>
      </c>
      <c r="K53" s="7" t="n">
        <v>50.59</v>
      </c>
      <c r="L53" s="7">
        <f>ROUND(J53-K53,2)</f>
        <v/>
      </c>
      <c r="M53" s="11" t="n">
        <v>50.59</v>
      </c>
      <c r="N53" s="7">
        <f>ROUND(K53-M53,2)</f>
        <v/>
      </c>
      <c r="O53">
        <f>IF(M53=0,"T0_NoTax",IF(ABS(K53-M53)&lt;0.01,"T1_Clean",IF(L53=0,"T2_FullUnpaid","T3_Mismatch")))</f>
        <v/>
      </c>
      <c r="P53">
        <f>I53</f>
        <v/>
      </c>
      <c r="Q53">
        <f>IF(LEFT(O53,2)="CM","See Tier Definitions for CM handling",IF(O53="T1_Clean",IF(P53="OK","Edit invoice to remove tax (immediate)","Edit blocked — requires period unlock by accounting"),IF(O53="T2_FullUnpaid","Hold for accounting decision: remove now or wait for payment",IF(O53="T3_Mismatch","Manual investigation of payment trail in NetSuite required",IF(O53="T0_NoTax","Tax not on invoice — flag back to accounting (collection or other issue)","")))))</f>
        <v/>
      </c>
      <c r="R53" s="8" t="inlineStr">
        <is>
          <t>Sales Tax - Received exemption certificate, will resolve shortly</t>
        </is>
      </c>
    </row>
    <row r="54">
      <c r="A54" t="n">
        <v>491982</v>
      </c>
      <c r="B54" t="inlineStr">
        <is>
          <t>INV681034</t>
        </is>
      </c>
      <c r="C54" t="inlineStr">
        <is>
          <t>CustInvc</t>
        </is>
      </c>
      <c r="D54" t="inlineStr">
        <is>
          <t>1727</t>
        </is>
      </c>
      <c r="E54" t="inlineStr">
        <is>
          <t>Heath Hollis (Burkhart)</t>
        </is>
      </c>
      <c r="F54" s="15" t="n">
        <v>46041</v>
      </c>
      <c r="G54" s="15" t="n">
        <v>46071</v>
      </c>
      <c r="H54">
        <f>IFERROR(INDEX('Period Status'!$A$2:$A$16,MATCH(1,(F54&gt;='Period Status'!$C$2:$C$16)*(F54&lt;='Period Status'!$D$2:$D$16),0)),"?")</f>
        <v/>
      </c>
      <c r="I54">
        <f>IFERROR(VLOOKUP(H54,'Period Status'!$A$2:$I$16,9,FALSE),"?")</f>
        <v/>
      </c>
      <c r="J54" s="7" t="n">
        <v>248.18</v>
      </c>
      <c r="K54" s="7" t="n">
        <v>23.18</v>
      </c>
      <c r="L54" s="7">
        <f>ROUND(J54-K54,2)</f>
        <v/>
      </c>
      <c r="M54" s="11" t="n">
        <v>23.18</v>
      </c>
      <c r="N54" s="7">
        <f>ROUND(K54-M54,2)</f>
        <v/>
      </c>
      <c r="O54">
        <f>IF(M54=0,"T0_NoTax",IF(ABS(K54-M54)&lt;0.01,"T1_Clean",IF(L54=0,"T2_FullUnpaid","T3_Mismatch")))</f>
        <v/>
      </c>
      <c r="P54">
        <f>I54</f>
        <v/>
      </c>
      <c r="Q54">
        <f>IF(LEFT(O54,2)="CM","See Tier Definitions for CM handling",IF(O54="T1_Clean",IF(P54="OK","Edit invoice to remove tax (immediate)","Edit blocked — requires period unlock by accounting"),IF(O54="T2_FullUnpaid","Hold for accounting decision: remove now or wait for payment",IF(O54="T3_Mismatch","Manual investigation of payment trail in NetSuite required",IF(O54="T0_NoTax","Tax not on invoice — flag back to accounting (collection or other issue)","")))))</f>
        <v/>
      </c>
      <c r="R54" s="8" t="inlineStr">
        <is>
          <t>Sales Tax - Received exemption certificate, will resolve shortly</t>
        </is>
      </c>
    </row>
    <row r="55">
      <c r="A55" t="n">
        <v>501654</v>
      </c>
      <c r="B55" t="inlineStr">
        <is>
          <t>INV681369</t>
        </is>
      </c>
      <c r="C55" t="inlineStr">
        <is>
          <t>CustInvc</t>
        </is>
      </c>
      <c r="D55" t="inlineStr">
        <is>
          <t>1727</t>
        </is>
      </c>
      <c r="E55" t="inlineStr">
        <is>
          <t>Heath Hollis (Burkhart)</t>
        </is>
      </c>
      <c r="F55" s="15" t="n">
        <v>46045</v>
      </c>
      <c r="G55" s="15" t="n">
        <v>46075</v>
      </c>
      <c r="H55">
        <f>IFERROR(INDEX('Period Status'!$A$2:$A$16,MATCH(1,(F55&gt;='Period Status'!$C$2:$C$16)*(F55&lt;='Period Status'!$D$2:$D$16),0)),"?")</f>
        <v/>
      </c>
      <c r="I55">
        <f>IFERROR(VLOOKUP(H55,'Period Status'!$A$2:$I$16,9,FALSE),"?")</f>
        <v/>
      </c>
      <c r="J55" s="7" t="n">
        <v>436.66</v>
      </c>
      <c r="K55" s="7" t="n">
        <v>29.77</v>
      </c>
      <c r="L55" s="7">
        <f>ROUND(J55-K55,2)</f>
        <v/>
      </c>
      <c r="M55" s="11" t="n">
        <v>29.77</v>
      </c>
      <c r="N55" s="7">
        <f>ROUND(K55-M55,2)</f>
        <v/>
      </c>
      <c r="O55">
        <f>IF(M55=0,"T0_NoTax",IF(ABS(K55-M55)&lt;0.01,"T1_Clean",IF(L55=0,"T2_FullUnpaid","T3_Mismatch")))</f>
        <v/>
      </c>
      <c r="P55">
        <f>I55</f>
        <v/>
      </c>
      <c r="Q55">
        <f>IF(LEFT(O55,2)="CM","See Tier Definitions for CM handling",IF(O55="T1_Clean",IF(P55="OK","Edit invoice to remove tax (immediate)","Edit blocked — requires period unlock by accounting"),IF(O55="T2_FullUnpaid","Hold for accounting decision: remove now or wait for payment",IF(O55="T3_Mismatch","Manual investigation of payment trail in NetSuite required",IF(O55="T0_NoTax","Tax not on invoice — flag back to accounting (collection or other issue)","")))))</f>
        <v/>
      </c>
      <c r="R55" s="8" t="inlineStr">
        <is>
          <t>Sales Tax - Received exemption certificate, will resolve shortly</t>
        </is>
      </c>
    </row>
    <row r="56">
      <c r="A56" t="n">
        <v>501676</v>
      </c>
      <c r="B56" t="inlineStr">
        <is>
          <t>INV681391</t>
        </is>
      </c>
      <c r="C56" t="inlineStr">
        <is>
          <t>CustInvc</t>
        </is>
      </c>
      <c r="D56" t="inlineStr">
        <is>
          <t>1727</t>
        </is>
      </c>
      <c r="E56" t="inlineStr">
        <is>
          <t>Heath Hollis (Burkhart)</t>
        </is>
      </c>
      <c r="F56" s="15" t="n">
        <v>46045</v>
      </c>
      <c r="G56" s="15" t="n">
        <v>46075</v>
      </c>
      <c r="H56">
        <f>IFERROR(INDEX('Period Status'!$A$2:$A$16,MATCH(1,(F56&gt;='Period Status'!$C$2:$C$16)*(F56&lt;='Period Status'!$D$2:$D$16),0)),"?")</f>
        <v/>
      </c>
      <c r="I56">
        <f>IFERROR(VLOOKUP(H56,'Period Status'!$A$2:$I$16,9,FALSE),"?")</f>
        <v/>
      </c>
      <c r="J56" s="7" t="n">
        <v>173.3</v>
      </c>
      <c r="K56" s="7" t="n">
        <v>9.710000000000001</v>
      </c>
      <c r="L56" s="7">
        <f>ROUND(J56-K56,2)</f>
        <v/>
      </c>
      <c r="M56" s="11" t="n">
        <v>9.710000000000001</v>
      </c>
      <c r="N56" s="7">
        <f>ROUND(K56-M56,2)</f>
        <v/>
      </c>
      <c r="O56">
        <f>IF(M56=0,"T0_NoTax",IF(ABS(K56-M56)&lt;0.01,"T1_Clean",IF(L56=0,"T2_FullUnpaid","T3_Mismatch")))</f>
        <v/>
      </c>
      <c r="P56">
        <f>I56</f>
        <v/>
      </c>
      <c r="Q56">
        <f>IF(LEFT(O56,2)="CM","See Tier Definitions for CM handling",IF(O56="T1_Clean",IF(P56="OK","Edit invoice to remove tax (immediate)","Edit blocked — requires period unlock by accounting"),IF(O56="T2_FullUnpaid","Hold for accounting decision: remove now or wait for payment",IF(O56="T3_Mismatch","Manual investigation of payment trail in NetSuite required",IF(O56="T0_NoTax","Tax not on invoice — flag back to accounting (collection or other issue)","")))))</f>
        <v/>
      </c>
      <c r="R56" s="8" t="inlineStr">
        <is>
          <t>Sales Tax - Received exemption certificate, will resolve shortly</t>
        </is>
      </c>
    </row>
    <row r="57">
      <c r="A57" t="n">
        <v>510756</v>
      </c>
      <c r="B57" t="inlineStr">
        <is>
          <t>INV681661</t>
        </is>
      </c>
      <c r="C57" t="inlineStr">
        <is>
          <t>CustInvc</t>
        </is>
      </c>
      <c r="D57" t="inlineStr">
        <is>
          <t>1727</t>
        </is>
      </c>
      <c r="E57" t="inlineStr">
        <is>
          <t>Heath Hollis (Burkhart)</t>
        </is>
      </c>
      <c r="F57" s="15" t="n">
        <v>46051</v>
      </c>
      <c r="G57" s="15" t="n">
        <v>46081</v>
      </c>
      <c r="H57">
        <f>IFERROR(INDEX('Period Status'!$A$2:$A$16,MATCH(1,(F57&gt;='Period Status'!$C$2:$C$16)*(F57&lt;='Period Status'!$D$2:$D$16),0)),"?")</f>
        <v/>
      </c>
      <c r="I57">
        <f>IFERROR(VLOOKUP(H57,'Period Status'!$A$2:$I$16,9,FALSE),"?")</f>
        <v/>
      </c>
      <c r="J57" s="7" t="n">
        <v>113.48</v>
      </c>
      <c r="K57" s="7" t="n">
        <v>10.6</v>
      </c>
      <c r="L57" s="7">
        <f>ROUND(J57-K57,2)</f>
        <v/>
      </c>
      <c r="M57" s="11" t="n">
        <v>10.6</v>
      </c>
      <c r="N57" s="7">
        <f>ROUND(K57-M57,2)</f>
        <v/>
      </c>
      <c r="O57">
        <f>IF(M57=0,"T0_NoTax",IF(ABS(K57-M57)&lt;0.01,"T1_Clean",IF(L57=0,"T2_FullUnpaid","T3_Mismatch")))</f>
        <v/>
      </c>
      <c r="P57">
        <f>I57</f>
        <v/>
      </c>
      <c r="Q57">
        <f>IF(LEFT(O57,2)="CM","See Tier Definitions for CM handling",IF(O57="T1_Clean",IF(P57="OK","Edit invoice to remove tax (immediate)","Edit blocked — requires period unlock by accounting"),IF(O57="T2_FullUnpaid","Hold for accounting decision: remove now or wait for payment",IF(O57="T3_Mismatch","Manual investigation of payment trail in NetSuite required",IF(O57="T0_NoTax","Tax not on invoice — flag back to accounting (collection or other issue)","")))))</f>
        <v/>
      </c>
      <c r="R57" s="8" t="inlineStr">
        <is>
          <t>Sales Tax - Received exemption certificate, will resolve shortly</t>
        </is>
      </c>
    </row>
    <row r="58">
      <c r="A58" t="n">
        <v>513218</v>
      </c>
      <c r="B58" t="inlineStr">
        <is>
          <t>INV681804</t>
        </is>
      </c>
      <c r="C58" t="inlineStr">
        <is>
          <t>CustInvc</t>
        </is>
      </c>
      <c r="D58" t="inlineStr">
        <is>
          <t>1727</t>
        </is>
      </c>
      <c r="E58" t="inlineStr">
        <is>
          <t>Heath Hollis (Burkhart)</t>
        </is>
      </c>
      <c r="F58" s="15" t="n">
        <v>46052</v>
      </c>
      <c r="G58" s="15" t="n">
        <v>46082</v>
      </c>
      <c r="H58">
        <f>IFERROR(INDEX('Period Status'!$A$2:$A$16,MATCH(1,(F58&gt;='Period Status'!$C$2:$C$16)*(F58&lt;='Period Status'!$D$2:$D$16),0)),"?")</f>
        <v/>
      </c>
      <c r="I58">
        <f>IFERROR(VLOOKUP(H58,'Period Status'!$A$2:$I$16,9,FALSE),"?")</f>
        <v/>
      </c>
      <c r="J58" s="7" t="n">
        <v>412.24</v>
      </c>
      <c r="K58" s="7" t="n">
        <v>42.56</v>
      </c>
      <c r="L58" s="7">
        <f>ROUND(J58-K58,2)</f>
        <v/>
      </c>
      <c r="M58" s="11" t="n">
        <v>33.59</v>
      </c>
      <c r="N58" s="7">
        <f>ROUND(K58-M58,2)</f>
        <v/>
      </c>
      <c r="O58">
        <f>IF(M58=0,"T0_NoTax",IF(ABS(K58-M58)&lt;0.01,"T1_Clean",IF(L58=0,"T2_FullUnpaid","T3_Mismatch")))</f>
        <v/>
      </c>
      <c r="P58">
        <f>I58</f>
        <v/>
      </c>
      <c r="Q58">
        <f>IF(LEFT(O58,2)="CM","See Tier Definitions for CM handling",IF(O58="T1_Clean",IF(P58="OK","Edit invoice to remove tax (immediate)","Edit blocked — requires period unlock by accounting"),IF(O58="T2_FullUnpaid","Hold for accounting decision: remove now or wait for payment",IF(O58="T3_Mismatch","Manual investigation of payment trail in NetSuite required",IF(O58="T0_NoTax","Tax not on invoice — flag back to accounting (collection or other issue)","")))))</f>
        <v/>
      </c>
      <c r="R58" s="8" t="inlineStr">
        <is>
          <t>Sales Tax - Received exemption certificate, will resolve shortly</t>
        </is>
      </c>
    </row>
    <row r="59">
      <c r="A59" t="n">
        <v>543317</v>
      </c>
      <c r="B59" t="inlineStr">
        <is>
          <t>INV682840</t>
        </is>
      </c>
      <c r="C59" t="inlineStr">
        <is>
          <t>CustInvc</t>
        </is>
      </c>
      <c r="D59" t="inlineStr">
        <is>
          <t>1727</t>
        </is>
      </c>
      <c r="E59" t="inlineStr">
        <is>
          <t>Heath Hollis (Burkhart)</t>
        </is>
      </c>
      <c r="F59" s="15" t="n">
        <v>46066</v>
      </c>
      <c r="G59" s="15" t="n">
        <v>46096</v>
      </c>
      <c r="H59">
        <f>IFERROR(INDEX('Period Status'!$A$2:$A$16,MATCH(1,(F59&gt;='Period Status'!$C$2:$C$16)*(F59&lt;='Period Status'!$D$2:$D$16),0)),"?")</f>
        <v/>
      </c>
      <c r="I59">
        <f>IFERROR(VLOOKUP(H59,'Period Status'!$A$2:$I$16,9,FALSE),"?")</f>
        <v/>
      </c>
      <c r="J59" s="7" t="n">
        <v>125.8</v>
      </c>
      <c r="K59" s="7" t="n">
        <v>8.69</v>
      </c>
      <c r="L59" s="7">
        <f>ROUND(J59-K59,2)</f>
        <v/>
      </c>
      <c r="M59" s="11" t="n">
        <v>8.69</v>
      </c>
      <c r="N59" s="7">
        <f>ROUND(K59-M59,2)</f>
        <v/>
      </c>
      <c r="O59">
        <f>IF(M59=0,"T0_NoTax",IF(ABS(K59-M59)&lt;0.01,"T1_Clean",IF(L59=0,"T2_FullUnpaid","T3_Mismatch")))</f>
        <v/>
      </c>
      <c r="P59">
        <f>I59</f>
        <v/>
      </c>
      <c r="Q59">
        <f>IF(LEFT(O59,2)="CM","See Tier Definitions for CM handling",IF(O59="T1_Clean",IF(P59="OK","Edit invoice to remove tax (immediate)","Edit blocked — requires period unlock by accounting"),IF(O59="T2_FullUnpaid","Hold for accounting decision: remove now or wait for payment",IF(O59="T3_Mismatch","Manual investigation of payment trail in NetSuite required",IF(O59="T0_NoTax","Tax not on invoice — flag back to accounting (collection or other issue)","")))))</f>
        <v/>
      </c>
      <c r="R59" s="8" t="inlineStr">
        <is>
          <t>Sales Tax - Received exemption certificate, will resolve shortly</t>
        </is>
      </c>
    </row>
    <row r="60">
      <c r="A60" t="n">
        <v>543320</v>
      </c>
      <c r="B60" t="inlineStr">
        <is>
          <t>INV682843</t>
        </is>
      </c>
      <c r="C60" t="inlineStr">
        <is>
          <t>CustInvc</t>
        </is>
      </c>
      <c r="D60" t="inlineStr">
        <is>
          <t>1727</t>
        </is>
      </c>
      <c r="E60" t="inlineStr">
        <is>
          <t>Heath Hollis (Burkhart)</t>
        </is>
      </c>
      <c r="F60" s="15" t="n">
        <v>46066</v>
      </c>
      <c r="G60" s="15" t="n">
        <v>46096</v>
      </c>
      <c r="H60">
        <f>IFERROR(INDEX('Period Status'!$A$2:$A$16,MATCH(1,(F60&gt;='Period Status'!$C$2:$C$16)*(F60&lt;='Period Status'!$D$2:$D$16),0)),"?")</f>
        <v/>
      </c>
      <c r="I60">
        <f>IFERROR(VLOOKUP(H60,'Period Status'!$A$2:$I$16,9,FALSE),"?")</f>
        <v/>
      </c>
      <c r="J60" s="7" t="n">
        <v>127.17</v>
      </c>
      <c r="K60" s="7" t="n">
        <v>11.88</v>
      </c>
      <c r="L60" s="7">
        <f>ROUND(J60-K60,2)</f>
        <v/>
      </c>
      <c r="M60" s="11" t="n">
        <v>11.88</v>
      </c>
      <c r="N60" s="7">
        <f>ROUND(K60-M60,2)</f>
        <v/>
      </c>
      <c r="O60">
        <f>IF(M60=0,"T0_NoTax",IF(ABS(K60-M60)&lt;0.01,"T1_Clean",IF(L60=0,"T2_FullUnpaid","T3_Mismatch")))</f>
        <v/>
      </c>
      <c r="P60">
        <f>I60</f>
        <v/>
      </c>
      <c r="Q60">
        <f>IF(LEFT(O60,2)="CM","See Tier Definitions for CM handling",IF(O60="T1_Clean",IF(P60="OK","Edit invoice to remove tax (immediate)","Edit blocked — requires period unlock by accounting"),IF(O60="T2_FullUnpaid","Hold for accounting decision: remove now or wait for payment",IF(O60="T3_Mismatch","Manual investigation of payment trail in NetSuite required",IF(O60="T0_NoTax","Tax not on invoice — flag back to accounting (collection or other issue)","")))))</f>
        <v/>
      </c>
      <c r="R60" s="8" t="inlineStr">
        <is>
          <t>Sales Tax - Received exemption certificate, will resolve shortly</t>
        </is>
      </c>
    </row>
    <row r="61">
      <c r="A61" t="n">
        <v>556539</v>
      </c>
      <c r="B61" t="inlineStr">
        <is>
          <t>INV683203</t>
        </is>
      </c>
      <c r="C61" t="inlineStr">
        <is>
          <t>CustInvc</t>
        </is>
      </c>
      <c r="D61" t="inlineStr">
        <is>
          <t>1727</t>
        </is>
      </c>
      <c r="E61" t="inlineStr">
        <is>
          <t>Heath Hollis (Burkhart)</t>
        </is>
      </c>
      <c r="F61" s="15" t="n">
        <v>46072</v>
      </c>
      <c r="G61" s="15" t="n">
        <v>46102</v>
      </c>
      <c r="H61">
        <f>IFERROR(INDEX('Period Status'!$A$2:$A$16,MATCH(1,(F61&gt;='Period Status'!$C$2:$C$16)*(F61&lt;='Period Status'!$D$2:$D$16),0)),"?")</f>
        <v/>
      </c>
      <c r="I61">
        <f>IFERROR(VLOOKUP(H61,'Period Status'!$A$2:$I$16,9,FALSE),"?")</f>
        <v/>
      </c>
      <c r="J61" s="7" t="n">
        <v>15.5</v>
      </c>
      <c r="K61" s="7" t="n">
        <v>1.44</v>
      </c>
      <c r="L61" s="7">
        <f>ROUND(J61-K61,2)</f>
        <v/>
      </c>
      <c r="M61" s="11" t="n">
        <v>1.44</v>
      </c>
      <c r="N61" s="7">
        <f>ROUND(K61-M61,2)</f>
        <v/>
      </c>
      <c r="O61">
        <f>IF(M61=0,"T0_NoTax",IF(ABS(K61-M61)&lt;0.01,"T1_Clean",IF(L61=0,"T2_FullUnpaid","T3_Mismatch")))</f>
        <v/>
      </c>
      <c r="P61">
        <f>I61</f>
        <v/>
      </c>
      <c r="Q61">
        <f>IF(LEFT(O61,2)="CM","See Tier Definitions for CM handling",IF(O61="T1_Clean",IF(P61="OK","Edit invoice to remove tax (immediate)","Edit blocked — requires period unlock by accounting"),IF(O61="T2_FullUnpaid","Hold for accounting decision: remove now or wait for payment",IF(O61="T3_Mismatch","Manual investigation of payment trail in NetSuite required",IF(O61="T0_NoTax","Tax not on invoice — flag back to accounting (collection or other issue)","")))))</f>
        <v/>
      </c>
      <c r="R61" s="8" t="inlineStr">
        <is>
          <t>Sales Tax - Received exemption certificate, will resolve shortly</t>
        </is>
      </c>
    </row>
    <row r="62">
      <c r="A62" t="n">
        <v>559590</v>
      </c>
      <c r="B62" t="inlineStr">
        <is>
          <t>INV683328</t>
        </is>
      </c>
      <c r="C62" t="inlineStr">
        <is>
          <t>CustInvc</t>
        </is>
      </c>
      <c r="D62" t="inlineStr">
        <is>
          <t>1727</t>
        </is>
      </c>
      <c r="E62" t="inlineStr">
        <is>
          <t>Heath Hollis (Burkhart)</t>
        </is>
      </c>
      <c r="F62" s="15" t="n">
        <v>46073</v>
      </c>
      <c r="G62" s="15" t="n">
        <v>46103</v>
      </c>
      <c r="H62">
        <f>IFERROR(INDEX('Period Status'!$A$2:$A$16,MATCH(1,(F62&gt;='Period Status'!$C$2:$C$16)*(F62&lt;='Period Status'!$D$2:$D$16),0)),"?")</f>
        <v/>
      </c>
      <c r="I62">
        <f>IFERROR(VLOOKUP(H62,'Period Status'!$A$2:$I$16,9,FALSE),"?")</f>
        <v/>
      </c>
      <c r="J62" s="7" t="n">
        <v>36</v>
      </c>
      <c r="K62" s="7" t="n">
        <v>2.76</v>
      </c>
      <c r="L62" s="7">
        <f>ROUND(J62-K62,2)</f>
        <v/>
      </c>
      <c r="M62" s="11" t="n">
        <v>2.76</v>
      </c>
      <c r="N62" s="7">
        <f>ROUND(K62-M62,2)</f>
        <v/>
      </c>
      <c r="O62">
        <f>IF(M62=0,"T0_NoTax",IF(ABS(K62-M62)&lt;0.01,"T1_Clean",IF(L62=0,"T2_FullUnpaid","T3_Mismatch")))</f>
        <v/>
      </c>
      <c r="P62">
        <f>I62</f>
        <v/>
      </c>
      <c r="Q62">
        <f>IF(LEFT(O62,2)="CM","See Tier Definitions for CM handling",IF(O62="T1_Clean",IF(P62="OK","Edit invoice to remove tax (immediate)","Edit blocked — requires period unlock by accounting"),IF(O62="T2_FullUnpaid","Hold for accounting decision: remove now or wait for payment",IF(O62="T3_Mismatch","Manual investigation of payment trail in NetSuite required",IF(O62="T0_NoTax","Tax not on invoice — flag back to accounting (collection or other issue)","")))))</f>
        <v/>
      </c>
      <c r="R62" s="8" t="inlineStr">
        <is>
          <t>Sales Tax - Received exemption certificate, will resolve shortly</t>
        </is>
      </c>
    </row>
    <row r="63">
      <c r="A63" t="n">
        <v>569751</v>
      </c>
      <c r="B63" t="inlineStr">
        <is>
          <t>INV683511</t>
        </is>
      </c>
      <c r="C63" t="inlineStr">
        <is>
          <t>CustInvc</t>
        </is>
      </c>
      <c r="D63" t="inlineStr">
        <is>
          <t>1727</t>
        </is>
      </c>
      <c r="E63" t="inlineStr">
        <is>
          <t>Heath Hollis (Burkhart)</t>
        </is>
      </c>
      <c r="F63" s="15" t="n">
        <v>46078</v>
      </c>
      <c r="G63" s="15" t="n">
        <v>46108</v>
      </c>
      <c r="H63">
        <f>IFERROR(INDEX('Period Status'!$A$2:$A$16,MATCH(1,(F63&gt;='Period Status'!$C$2:$C$16)*(F63&lt;='Period Status'!$D$2:$D$16),0)),"?")</f>
        <v/>
      </c>
      <c r="I63">
        <f>IFERROR(VLOOKUP(H63,'Period Status'!$A$2:$I$16,9,FALSE),"?")</f>
        <v/>
      </c>
      <c r="J63" s="7" t="n">
        <v>35.6</v>
      </c>
      <c r="K63" s="7" t="n">
        <v>2.71</v>
      </c>
      <c r="L63" s="7">
        <f>ROUND(J63-K63,2)</f>
        <v/>
      </c>
      <c r="M63" s="11" t="n">
        <v>2.71</v>
      </c>
      <c r="N63" s="7">
        <f>ROUND(K63-M63,2)</f>
        <v/>
      </c>
      <c r="O63">
        <f>IF(M63=0,"T0_NoTax",IF(ABS(K63-M63)&lt;0.01,"T1_Clean",IF(L63=0,"T2_FullUnpaid","T3_Mismatch")))</f>
        <v/>
      </c>
      <c r="P63">
        <f>I63</f>
        <v/>
      </c>
      <c r="Q63">
        <f>IF(LEFT(O63,2)="CM","See Tier Definitions for CM handling",IF(O63="T1_Clean",IF(P63="OK","Edit invoice to remove tax (immediate)","Edit blocked — requires period unlock by accounting"),IF(O63="T2_FullUnpaid","Hold for accounting decision: remove now or wait for payment",IF(O63="T3_Mismatch","Manual investigation of payment trail in NetSuite required",IF(O63="T0_NoTax","Tax not on invoice — flag back to accounting (collection or other issue)","")))))</f>
        <v/>
      </c>
      <c r="R63" s="8" t="inlineStr">
        <is>
          <t>Sales Tax - Received exemption certificate, will resolve shortly</t>
        </is>
      </c>
    </row>
    <row r="64">
      <c r="A64" t="n">
        <v>569755</v>
      </c>
      <c r="B64" t="inlineStr">
        <is>
          <t>INV683515</t>
        </is>
      </c>
      <c r="C64" t="inlineStr">
        <is>
          <t>CustInvc</t>
        </is>
      </c>
      <c r="D64" t="inlineStr">
        <is>
          <t>1727</t>
        </is>
      </c>
      <c r="E64" t="inlineStr">
        <is>
          <t>Heath Hollis (Burkhart)</t>
        </is>
      </c>
      <c r="F64" s="15" t="n">
        <v>46078</v>
      </c>
      <c r="G64" s="15" t="n">
        <v>46108</v>
      </c>
      <c r="H64">
        <f>IFERROR(INDEX('Period Status'!$A$2:$A$16,MATCH(1,(F64&gt;='Period Status'!$C$2:$C$16)*(F64&lt;='Period Status'!$D$2:$D$16),0)),"?")</f>
        <v/>
      </c>
      <c r="I64">
        <f>IFERROR(VLOOKUP(H64,'Period Status'!$A$2:$I$16,9,FALSE),"?")</f>
        <v/>
      </c>
      <c r="J64" s="7" t="n">
        <v>579.08</v>
      </c>
      <c r="K64" s="7" t="n">
        <v>54.08</v>
      </c>
      <c r="L64" s="7">
        <f>ROUND(J64-K64,2)</f>
        <v/>
      </c>
      <c r="M64" s="11" t="n">
        <v>54.08</v>
      </c>
      <c r="N64" s="7">
        <f>ROUND(K64-M64,2)</f>
        <v/>
      </c>
      <c r="O64">
        <f>IF(M64=0,"T0_NoTax",IF(ABS(K64-M64)&lt;0.01,"T1_Clean",IF(L64=0,"T2_FullUnpaid","T3_Mismatch")))</f>
        <v/>
      </c>
      <c r="P64">
        <f>I64</f>
        <v/>
      </c>
      <c r="Q64">
        <f>IF(LEFT(O64,2)="CM","See Tier Definitions for CM handling",IF(O64="T1_Clean",IF(P64="OK","Edit invoice to remove tax (immediate)","Edit blocked — requires period unlock by accounting"),IF(O64="T2_FullUnpaid","Hold for accounting decision: remove now or wait for payment",IF(O64="T3_Mismatch","Manual investigation of payment trail in NetSuite required",IF(O64="T0_NoTax","Tax not on invoice — flag back to accounting (collection or other issue)","")))))</f>
        <v/>
      </c>
      <c r="R64" s="8" t="inlineStr">
        <is>
          <t>Sales Tax - Received exemption certificate, will resolve shortly</t>
        </is>
      </c>
    </row>
    <row r="65">
      <c r="A65" t="n">
        <v>569756</v>
      </c>
      <c r="B65" t="inlineStr">
        <is>
          <t>INV683516</t>
        </is>
      </c>
      <c r="C65" t="inlineStr">
        <is>
          <t>CustInvc</t>
        </is>
      </c>
      <c r="D65" t="inlineStr">
        <is>
          <t>1727</t>
        </is>
      </c>
      <c r="E65" t="inlineStr">
        <is>
          <t>Heath Hollis (Burkhart)</t>
        </is>
      </c>
      <c r="F65" s="15" t="n">
        <v>46078</v>
      </c>
      <c r="G65" s="15" t="n">
        <v>46108</v>
      </c>
      <c r="H65">
        <f>IFERROR(INDEX('Period Status'!$A$2:$A$16,MATCH(1,(F65&gt;='Period Status'!$C$2:$C$16)*(F65&lt;='Period Status'!$D$2:$D$16),0)),"?")</f>
        <v/>
      </c>
      <c r="I65">
        <f>IFERROR(VLOOKUP(H65,'Period Status'!$A$2:$I$16,9,FALSE),"?")</f>
        <v/>
      </c>
      <c r="J65" s="7" t="n">
        <v>842.6799999999999</v>
      </c>
      <c r="K65" s="7" t="n">
        <v>64.23999999999999</v>
      </c>
      <c r="L65" s="7">
        <f>ROUND(J65-K65,2)</f>
        <v/>
      </c>
      <c r="M65" s="11" t="n">
        <v>64.23999999999999</v>
      </c>
      <c r="N65" s="7">
        <f>ROUND(K65-M65,2)</f>
        <v/>
      </c>
      <c r="O65">
        <f>IF(M65=0,"T0_NoTax",IF(ABS(K65-M65)&lt;0.01,"T1_Clean",IF(L65=0,"T2_FullUnpaid","T3_Mismatch")))</f>
        <v/>
      </c>
      <c r="P65">
        <f>I65</f>
        <v/>
      </c>
      <c r="Q65">
        <f>IF(LEFT(O65,2)="CM","See Tier Definitions for CM handling",IF(O65="T1_Clean",IF(P65="OK","Edit invoice to remove tax (immediate)","Edit blocked — requires period unlock by accounting"),IF(O65="T2_FullUnpaid","Hold for accounting decision: remove now or wait for payment",IF(O65="T3_Mismatch","Manual investigation of payment trail in NetSuite required",IF(O65="T0_NoTax","Tax not on invoice — flag back to accounting (collection or other issue)","")))))</f>
        <v/>
      </c>
      <c r="R65" s="8" t="inlineStr">
        <is>
          <t>Sales Tax - Received exemption certificate, will resolve shortly</t>
        </is>
      </c>
    </row>
    <row r="66">
      <c r="A66" t="n">
        <v>569764</v>
      </c>
      <c r="B66" t="inlineStr">
        <is>
          <t>INV683524</t>
        </is>
      </c>
      <c r="C66" t="inlineStr">
        <is>
          <t>CustInvc</t>
        </is>
      </c>
      <c r="D66" t="inlineStr">
        <is>
          <t>1727</t>
        </is>
      </c>
      <c r="E66" t="inlineStr">
        <is>
          <t>Heath Hollis (Burkhart)</t>
        </is>
      </c>
      <c r="F66" s="15" t="n">
        <v>46078</v>
      </c>
      <c r="G66" s="15" t="n">
        <v>46108</v>
      </c>
      <c r="H66">
        <f>IFERROR(INDEX('Period Status'!$A$2:$A$16,MATCH(1,(F66&gt;='Period Status'!$C$2:$C$16)*(F66&lt;='Period Status'!$D$2:$D$16),0)),"?")</f>
        <v/>
      </c>
      <c r="I66">
        <f>IFERROR(VLOOKUP(H66,'Period Status'!$A$2:$I$16,9,FALSE),"?")</f>
        <v/>
      </c>
      <c r="J66" s="7" t="n">
        <v>36.28</v>
      </c>
      <c r="K66" s="7" t="n">
        <v>3.39</v>
      </c>
      <c r="L66" s="7">
        <f>ROUND(J66-K66,2)</f>
        <v/>
      </c>
      <c r="M66" s="11" t="n">
        <v>3.39</v>
      </c>
      <c r="N66" s="7">
        <f>ROUND(K66-M66,2)</f>
        <v/>
      </c>
      <c r="O66">
        <f>IF(M66=0,"T0_NoTax",IF(ABS(K66-M66)&lt;0.01,"T1_Clean",IF(L66=0,"T2_FullUnpaid","T3_Mismatch")))</f>
        <v/>
      </c>
      <c r="P66">
        <f>I66</f>
        <v/>
      </c>
      <c r="Q66">
        <f>IF(LEFT(O66,2)="CM","See Tier Definitions for CM handling",IF(O66="T1_Clean",IF(P66="OK","Edit invoice to remove tax (immediate)","Edit blocked — requires period unlock by accounting"),IF(O66="T2_FullUnpaid","Hold for accounting decision: remove now or wait for payment",IF(O66="T3_Mismatch","Manual investigation of payment trail in NetSuite required",IF(O66="T0_NoTax","Tax not on invoice — flag back to accounting (collection or other issue)","")))))</f>
        <v/>
      </c>
      <c r="R66" s="8" t="inlineStr">
        <is>
          <t>Sales Tax - Received exemption certificate, will resolve shortly</t>
        </is>
      </c>
    </row>
    <row r="67">
      <c r="A67" t="n">
        <v>569819</v>
      </c>
      <c r="B67" t="inlineStr">
        <is>
          <t>INV683568</t>
        </is>
      </c>
      <c r="C67" t="inlineStr">
        <is>
          <t>CustInvc</t>
        </is>
      </c>
      <c r="D67" t="inlineStr">
        <is>
          <t>1727</t>
        </is>
      </c>
      <c r="E67" t="inlineStr">
        <is>
          <t>Heath Hollis (Burkhart)</t>
        </is>
      </c>
      <c r="F67" s="15" t="n">
        <v>46078</v>
      </c>
      <c r="G67" s="15" t="n">
        <v>46108</v>
      </c>
      <c r="H67">
        <f>IFERROR(INDEX('Period Status'!$A$2:$A$16,MATCH(1,(F67&gt;='Period Status'!$C$2:$C$16)*(F67&lt;='Period Status'!$D$2:$D$16),0)),"?")</f>
        <v/>
      </c>
      <c r="I67">
        <f>IFERROR(VLOOKUP(H67,'Period Status'!$A$2:$I$16,9,FALSE),"?")</f>
        <v/>
      </c>
      <c r="J67" s="7" t="n">
        <v>41.86</v>
      </c>
      <c r="K67" s="7" t="n">
        <v>1.34</v>
      </c>
      <c r="L67" s="7">
        <f>ROUND(J67-K67,2)</f>
        <v/>
      </c>
      <c r="M67" s="11" t="n">
        <v>1.34</v>
      </c>
      <c r="N67" s="7">
        <f>ROUND(K67-M67,2)</f>
        <v/>
      </c>
      <c r="O67">
        <f>IF(M67=0,"T0_NoTax",IF(ABS(K67-M67)&lt;0.01,"T1_Clean",IF(L67=0,"T2_FullUnpaid","T3_Mismatch")))</f>
        <v/>
      </c>
      <c r="P67">
        <f>I67</f>
        <v/>
      </c>
      <c r="Q67">
        <f>IF(LEFT(O67,2)="CM","See Tier Definitions for CM handling",IF(O67="T1_Clean",IF(P67="OK","Edit invoice to remove tax (immediate)","Edit blocked — requires period unlock by accounting"),IF(O67="T2_FullUnpaid","Hold for accounting decision: remove now or wait for payment",IF(O67="T3_Mismatch","Manual investigation of payment trail in NetSuite required",IF(O67="T0_NoTax","Tax not on invoice — flag back to accounting (collection or other issue)","")))))</f>
        <v/>
      </c>
      <c r="R67" s="8" t="inlineStr">
        <is>
          <t>Sales Tax - Received exemption certificate, will resolve shortly</t>
        </is>
      </c>
    </row>
    <row r="68">
      <c r="A68" t="n">
        <v>575070</v>
      </c>
      <c r="B68" t="inlineStr">
        <is>
          <t>INV683645</t>
        </is>
      </c>
      <c r="C68" t="inlineStr">
        <is>
          <t>CustInvc</t>
        </is>
      </c>
      <c r="D68" t="inlineStr">
        <is>
          <t>1727</t>
        </is>
      </c>
      <c r="E68" t="inlineStr">
        <is>
          <t>Heath Hollis (Burkhart)</t>
        </is>
      </c>
      <c r="F68" s="15" t="n">
        <v>46080</v>
      </c>
      <c r="G68" s="15" t="n">
        <v>46110</v>
      </c>
      <c r="H68">
        <f>IFERROR(INDEX('Period Status'!$A$2:$A$16,MATCH(1,(F68&gt;='Period Status'!$C$2:$C$16)*(F68&lt;='Period Status'!$D$2:$D$16),0)),"?")</f>
        <v/>
      </c>
      <c r="I68">
        <f>IFERROR(VLOOKUP(H68,'Period Status'!$A$2:$I$16,9,FALSE),"?")</f>
        <v/>
      </c>
      <c r="J68" s="7" t="n">
        <v>203.69</v>
      </c>
      <c r="K68" s="7" t="n">
        <v>10.42</v>
      </c>
      <c r="L68" s="7">
        <f>ROUND(J68-K68,2)</f>
        <v/>
      </c>
      <c r="M68" s="11" t="n">
        <v>10.42</v>
      </c>
      <c r="N68" s="7">
        <f>ROUND(K68-M68,2)</f>
        <v/>
      </c>
      <c r="O68">
        <f>IF(M68=0,"T0_NoTax",IF(ABS(K68-M68)&lt;0.01,"T1_Clean",IF(L68=0,"T2_FullUnpaid","T3_Mismatch")))</f>
        <v/>
      </c>
      <c r="P68">
        <f>I68</f>
        <v/>
      </c>
      <c r="Q68">
        <f>IF(LEFT(O68,2)="CM","See Tier Definitions for CM handling",IF(O68="T1_Clean",IF(P68="OK","Edit invoice to remove tax (immediate)","Edit blocked — requires period unlock by accounting"),IF(O68="T2_FullUnpaid","Hold for accounting decision: remove now or wait for payment",IF(O68="T3_Mismatch","Manual investigation of payment trail in NetSuite required",IF(O68="T0_NoTax","Tax not on invoice — flag back to accounting (collection or other issue)","")))))</f>
        <v/>
      </c>
      <c r="R68" s="8" t="inlineStr">
        <is>
          <t>Sales Tax - Received exemption certificate, will resolve shortly</t>
        </is>
      </c>
    </row>
    <row r="69">
      <c r="A69" t="n">
        <v>599145</v>
      </c>
      <c r="B69" t="inlineStr">
        <is>
          <t>INV684313</t>
        </is>
      </c>
      <c r="C69" t="inlineStr">
        <is>
          <t>CustInvc</t>
        </is>
      </c>
      <c r="D69" t="inlineStr">
        <is>
          <t>1727</t>
        </is>
      </c>
      <c r="E69" t="inlineStr">
        <is>
          <t>Heath Hollis (Burkhart)</t>
        </is>
      </c>
      <c r="F69" s="15" t="n">
        <v>46090</v>
      </c>
      <c r="G69" s="15" t="n">
        <v>46120</v>
      </c>
      <c r="H69">
        <f>IFERROR(INDEX('Period Status'!$A$2:$A$16,MATCH(1,(F69&gt;='Period Status'!$C$2:$C$16)*(F69&lt;='Period Status'!$D$2:$D$16),0)),"?")</f>
        <v/>
      </c>
      <c r="I69">
        <f>IFERROR(VLOOKUP(H69,'Period Status'!$A$2:$I$16,9,FALSE),"?")</f>
        <v/>
      </c>
      <c r="J69" s="7" t="n">
        <v>151.95</v>
      </c>
      <c r="K69" s="7" t="n">
        <v>3.39</v>
      </c>
      <c r="L69" s="7">
        <f>ROUND(J69-K69,2)</f>
        <v/>
      </c>
      <c r="M69" s="11" t="n">
        <v>3.39</v>
      </c>
      <c r="N69" s="7">
        <f>ROUND(K69-M69,2)</f>
        <v/>
      </c>
      <c r="O69">
        <f>IF(M69=0,"T0_NoTax",IF(ABS(K69-M69)&lt;0.01,"T1_Clean",IF(L69=0,"T2_FullUnpaid","T3_Mismatch")))</f>
        <v/>
      </c>
      <c r="P69">
        <f>I69</f>
        <v/>
      </c>
      <c r="Q69">
        <f>IF(LEFT(O69,2)="CM","See Tier Definitions for CM handling",IF(O69="T1_Clean",IF(P69="OK","Edit invoice to remove tax (immediate)","Edit blocked — requires period unlock by accounting"),IF(O69="T2_FullUnpaid","Hold for accounting decision: remove now or wait for payment",IF(O69="T3_Mismatch","Manual investigation of payment trail in NetSuite required",IF(O69="T0_NoTax","Tax not on invoice — flag back to accounting (collection or other issue)","")))))</f>
        <v/>
      </c>
      <c r="R69" s="8" t="inlineStr">
        <is>
          <t>Sales Tax - Received exemption certificate, will resolve shortly</t>
        </is>
      </c>
    </row>
    <row r="70">
      <c r="A70" t="n">
        <v>612451</v>
      </c>
      <c r="B70" t="inlineStr">
        <is>
          <t>INV684675</t>
        </is>
      </c>
      <c r="C70" t="inlineStr">
        <is>
          <t>CustInvc</t>
        </is>
      </c>
      <c r="D70" t="inlineStr">
        <is>
          <t>1727</t>
        </is>
      </c>
      <c r="E70" t="inlineStr">
        <is>
          <t>Heath Hollis (Burkhart)</t>
        </is>
      </c>
      <c r="F70" s="15" t="n">
        <v>46094</v>
      </c>
      <c r="G70" s="15" t="n">
        <v>46124</v>
      </c>
      <c r="H70">
        <f>IFERROR(INDEX('Period Status'!$A$2:$A$16,MATCH(1,(F70&gt;='Period Status'!$C$2:$C$16)*(F70&lt;='Period Status'!$D$2:$D$16),0)),"?")</f>
        <v/>
      </c>
      <c r="I70">
        <f>IFERROR(VLOOKUP(H70,'Period Status'!$A$2:$I$16,9,FALSE),"?")</f>
        <v/>
      </c>
      <c r="J70" s="7" t="n">
        <v>67.18000000000001</v>
      </c>
      <c r="K70" s="7" t="n">
        <v>5.14</v>
      </c>
      <c r="L70" s="7">
        <f>ROUND(J70-K70,2)</f>
        <v/>
      </c>
      <c r="M70" s="11" t="n">
        <v>5.14</v>
      </c>
      <c r="N70" s="7">
        <f>ROUND(K70-M70,2)</f>
        <v/>
      </c>
      <c r="O70">
        <f>IF(M70=0,"T0_NoTax",IF(ABS(K70-M70)&lt;0.01,"T1_Clean",IF(L70=0,"T2_FullUnpaid","T3_Mismatch")))</f>
        <v/>
      </c>
      <c r="P70">
        <f>I70</f>
        <v/>
      </c>
      <c r="Q70">
        <f>IF(LEFT(O70,2)="CM","See Tier Definitions for CM handling",IF(O70="T1_Clean",IF(P70="OK","Edit invoice to remove tax (immediate)","Edit blocked — requires period unlock by accounting"),IF(O70="T2_FullUnpaid","Hold for accounting decision: remove now or wait for payment",IF(O70="T3_Mismatch","Manual investigation of payment trail in NetSuite required",IF(O70="T0_NoTax","Tax not on invoice — flag back to accounting (collection or other issue)","")))))</f>
        <v/>
      </c>
      <c r="R70" s="8" t="inlineStr">
        <is>
          <t>Sales Tax - Received exemption certificate, will resolve shortly</t>
        </is>
      </c>
    </row>
    <row r="71">
      <c r="A71" t="n">
        <v>612452</v>
      </c>
      <c r="B71" t="inlineStr">
        <is>
          <t>INV684676</t>
        </is>
      </c>
      <c r="C71" t="inlineStr">
        <is>
          <t>CustInvc</t>
        </is>
      </c>
      <c r="D71" t="inlineStr">
        <is>
          <t>1727</t>
        </is>
      </c>
      <c r="E71" t="inlineStr">
        <is>
          <t>Heath Hollis (Burkhart)</t>
        </is>
      </c>
      <c r="F71" s="15" t="n">
        <v>46094</v>
      </c>
      <c r="G71" s="15" t="n">
        <v>46124</v>
      </c>
      <c r="H71">
        <f>IFERROR(INDEX('Period Status'!$A$2:$A$16,MATCH(1,(F71&gt;='Period Status'!$C$2:$C$16)*(F71&lt;='Period Status'!$D$2:$D$16),0)),"?")</f>
        <v/>
      </c>
      <c r="I71">
        <f>IFERROR(VLOOKUP(H71,'Period Status'!$A$2:$I$16,9,FALSE),"?")</f>
        <v/>
      </c>
      <c r="J71" s="7" t="n">
        <v>75.73</v>
      </c>
      <c r="K71" s="7" t="n">
        <v>5.37</v>
      </c>
      <c r="L71" s="7">
        <f>ROUND(J71-K71,2)</f>
        <v/>
      </c>
      <c r="M71" s="11" t="n">
        <v>5.37</v>
      </c>
      <c r="N71" s="7">
        <f>ROUND(K71-M71,2)</f>
        <v/>
      </c>
      <c r="O71">
        <f>IF(M71=0,"T0_NoTax",IF(ABS(K71-M71)&lt;0.01,"T1_Clean",IF(L71=0,"T2_FullUnpaid","T3_Mismatch")))</f>
        <v/>
      </c>
      <c r="P71">
        <f>I71</f>
        <v/>
      </c>
      <c r="Q71">
        <f>IF(LEFT(O71,2)="CM","See Tier Definitions for CM handling",IF(O71="T1_Clean",IF(P71="OK","Edit invoice to remove tax (immediate)","Edit blocked — requires period unlock by accounting"),IF(O71="T2_FullUnpaid","Hold for accounting decision: remove now or wait for payment",IF(O71="T3_Mismatch","Manual investigation of payment trail in NetSuite required",IF(O71="T0_NoTax","Tax not on invoice — flag back to accounting (collection or other issue)","")))))</f>
        <v/>
      </c>
      <c r="R71" s="8" t="inlineStr">
        <is>
          <t>Sales Tax - Received exemption certificate, will resolve shortly</t>
        </is>
      </c>
    </row>
    <row r="72">
      <c r="A72" t="n">
        <v>626729</v>
      </c>
      <c r="B72" t="inlineStr">
        <is>
          <t>INV685049</t>
        </is>
      </c>
      <c r="C72" t="inlineStr">
        <is>
          <t>CustInvc</t>
        </is>
      </c>
      <c r="D72" t="inlineStr">
        <is>
          <t>1727</t>
        </is>
      </c>
      <c r="E72" t="inlineStr">
        <is>
          <t>Heath Hollis (Burkhart)</t>
        </is>
      </c>
      <c r="F72" s="15" t="n">
        <v>46101</v>
      </c>
      <c r="G72" s="15" t="n">
        <v>46131</v>
      </c>
      <c r="H72">
        <f>IFERROR(INDEX('Period Status'!$A$2:$A$16,MATCH(1,(F72&gt;='Period Status'!$C$2:$C$16)*(F72&lt;='Period Status'!$D$2:$D$16),0)),"?")</f>
        <v/>
      </c>
      <c r="I72">
        <f>IFERROR(VLOOKUP(H72,'Period Status'!$A$2:$I$16,9,FALSE),"?")</f>
        <v/>
      </c>
      <c r="J72" s="7" t="n">
        <v>290.66</v>
      </c>
      <c r="K72" s="7" t="n">
        <v>15.81</v>
      </c>
      <c r="L72" s="7">
        <f>ROUND(J72-K72,2)</f>
        <v/>
      </c>
      <c r="M72" s="11" t="n">
        <v>15.81</v>
      </c>
      <c r="N72" s="7">
        <f>ROUND(K72-M72,2)</f>
        <v/>
      </c>
      <c r="O72">
        <f>IF(M72=0,"T0_NoTax",IF(ABS(K72-M72)&lt;0.01,"T1_Clean",IF(L72=0,"T2_FullUnpaid","T3_Mismatch")))</f>
        <v/>
      </c>
      <c r="P72">
        <f>I72</f>
        <v/>
      </c>
      <c r="Q72">
        <f>IF(LEFT(O72,2)="CM","See Tier Definitions for CM handling",IF(O72="T1_Clean",IF(P72="OK","Edit invoice to remove tax (immediate)","Edit blocked — requires period unlock by accounting"),IF(O72="T2_FullUnpaid","Hold for accounting decision: remove now or wait for payment",IF(O72="T3_Mismatch","Manual investigation of payment trail in NetSuite required",IF(O72="T0_NoTax","Tax not on invoice — flag back to accounting (collection or other issue)","")))))</f>
        <v/>
      </c>
      <c r="R72" s="8" t="inlineStr">
        <is>
          <t>Sales Tax - Received exemption certificate, will resolve shortly</t>
        </is>
      </c>
    </row>
    <row r="73">
      <c r="A73" t="n">
        <v>626730</v>
      </c>
      <c r="B73" t="inlineStr">
        <is>
          <t>INV685050</t>
        </is>
      </c>
      <c r="C73" t="inlineStr">
        <is>
          <t>CustInvc</t>
        </is>
      </c>
      <c r="D73" t="inlineStr">
        <is>
          <t>1727</t>
        </is>
      </c>
      <c r="E73" t="inlineStr">
        <is>
          <t>Heath Hollis (Burkhart)</t>
        </is>
      </c>
      <c r="F73" s="15" t="n">
        <v>46101</v>
      </c>
      <c r="G73" s="15" t="n">
        <v>46131</v>
      </c>
      <c r="H73">
        <f>IFERROR(INDEX('Period Status'!$A$2:$A$16,MATCH(1,(F73&gt;='Period Status'!$C$2:$C$16)*(F73&lt;='Period Status'!$D$2:$D$16),0)),"?")</f>
        <v/>
      </c>
      <c r="I73">
        <f>IFERROR(VLOOKUP(H73,'Period Status'!$A$2:$I$16,9,FALSE),"?")</f>
        <v/>
      </c>
      <c r="J73" s="7" t="n">
        <v>45.94</v>
      </c>
      <c r="K73" s="7" t="n">
        <v>1.25</v>
      </c>
      <c r="L73" s="7">
        <f>ROUND(J73-K73,2)</f>
        <v/>
      </c>
      <c r="M73" s="11" t="n">
        <v>1.25</v>
      </c>
      <c r="N73" s="7">
        <f>ROUND(K73-M73,2)</f>
        <v/>
      </c>
      <c r="O73">
        <f>IF(M73=0,"T0_NoTax",IF(ABS(K73-M73)&lt;0.01,"T1_Clean",IF(L73=0,"T2_FullUnpaid","T3_Mismatch")))</f>
        <v/>
      </c>
      <c r="P73">
        <f>I73</f>
        <v/>
      </c>
      <c r="Q73">
        <f>IF(LEFT(O73,2)="CM","See Tier Definitions for CM handling",IF(O73="T1_Clean",IF(P73="OK","Edit invoice to remove tax (immediate)","Edit blocked — requires period unlock by accounting"),IF(O73="T2_FullUnpaid","Hold for accounting decision: remove now or wait for payment",IF(O73="T3_Mismatch","Manual investigation of payment trail in NetSuite required",IF(O73="T0_NoTax","Tax not on invoice — flag back to accounting (collection or other issue)","")))))</f>
        <v/>
      </c>
      <c r="R73" s="8" t="inlineStr">
        <is>
          <t>Sales Tax - Received exemption certificate, will resolve shortly</t>
        </is>
      </c>
    </row>
    <row r="74">
      <c r="A74" t="n">
        <v>628261</v>
      </c>
      <c r="B74" t="inlineStr">
        <is>
          <t>INV685123</t>
        </is>
      </c>
      <c r="C74" t="inlineStr">
        <is>
          <t>CustInvc</t>
        </is>
      </c>
      <c r="D74" t="inlineStr">
        <is>
          <t>1727</t>
        </is>
      </c>
      <c r="E74" t="inlineStr">
        <is>
          <t>Heath Hollis (Burkhart)</t>
        </is>
      </c>
      <c r="F74" s="15" t="n">
        <v>46104</v>
      </c>
      <c r="G74" s="15" t="n">
        <v>46134</v>
      </c>
      <c r="H74">
        <f>IFERROR(INDEX('Period Status'!$A$2:$A$16,MATCH(1,(F74&gt;='Period Status'!$C$2:$C$16)*(F74&lt;='Period Status'!$D$2:$D$16),0)),"?")</f>
        <v/>
      </c>
      <c r="I74">
        <f>IFERROR(VLOOKUP(H74,'Period Status'!$A$2:$I$16,9,FALSE),"?")</f>
        <v/>
      </c>
      <c r="J74" s="7" t="n">
        <v>65.79000000000001</v>
      </c>
      <c r="K74" s="7" t="n">
        <v>6.15</v>
      </c>
      <c r="L74" s="7">
        <f>ROUND(J74-K74,2)</f>
        <v/>
      </c>
      <c r="M74" s="11" t="n">
        <v>6.15</v>
      </c>
      <c r="N74" s="7">
        <f>ROUND(K74-M74,2)</f>
        <v/>
      </c>
      <c r="O74">
        <f>IF(M74=0,"T0_NoTax",IF(ABS(K74-M74)&lt;0.01,"T1_Clean",IF(L74=0,"T2_FullUnpaid","T3_Mismatch")))</f>
        <v/>
      </c>
      <c r="P74">
        <f>I74</f>
        <v/>
      </c>
      <c r="Q74">
        <f>IF(LEFT(O74,2)="CM","See Tier Definitions for CM handling",IF(O74="T1_Clean",IF(P74="OK","Edit invoice to remove tax (immediate)","Edit blocked — requires period unlock by accounting"),IF(O74="T2_FullUnpaid","Hold for accounting decision: remove now or wait for payment",IF(O74="T3_Mismatch","Manual investigation of payment trail in NetSuite required",IF(O74="T0_NoTax","Tax not on invoice — flag back to accounting (collection or other issue)","")))))</f>
        <v/>
      </c>
      <c r="R74" s="8" t="inlineStr">
        <is>
          <t>Sales Tax - Received exemption certificate, will resolve shortly</t>
        </is>
      </c>
    </row>
    <row r="75">
      <c r="A75" t="n">
        <v>639726</v>
      </c>
      <c r="B75" t="inlineStr">
        <is>
          <t>INV685418</t>
        </is>
      </c>
      <c r="C75" t="inlineStr">
        <is>
          <t>CustInvc</t>
        </is>
      </c>
      <c r="D75" t="inlineStr">
        <is>
          <t>1727</t>
        </is>
      </c>
      <c r="E75" t="inlineStr">
        <is>
          <t>Heath Hollis (Burkhart)</t>
        </is>
      </c>
      <c r="F75" s="15" t="n">
        <v>46107</v>
      </c>
      <c r="G75" s="15" t="n">
        <v>46137</v>
      </c>
      <c r="H75">
        <f>IFERROR(INDEX('Period Status'!$A$2:$A$16,MATCH(1,(F75&gt;='Period Status'!$C$2:$C$16)*(F75&lt;='Period Status'!$D$2:$D$16),0)),"?")</f>
        <v/>
      </c>
      <c r="I75">
        <f>IFERROR(VLOOKUP(H75,'Period Status'!$A$2:$I$16,9,FALSE),"?")</f>
        <v/>
      </c>
      <c r="J75" s="7" t="n">
        <v>128.86</v>
      </c>
      <c r="K75" s="7" t="n">
        <v>8.619999999999999</v>
      </c>
      <c r="L75" s="7">
        <f>ROUND(J75-K75,2)</f>
        <v/>
      </c>
      <c r="M75" s="11" t="n">
        <v>8.619999999999999</v>
      </c>
      <c r="N75" s="7">
        <f>ROUND(K75-M75,2)</f>
        <v/>
      </c>
      <c r="O75">
        <f>IF(M75=0,"T0_NoTax",IF(ABS(K75-M75)&lt;0.01,"T1_Clean",IF(L75=0,"T2_FullUnpaid","T3_Mismatch")))</f>
        <v/>
      </c>
      <c r="P75">
        <f>I75</f>
        <v/>
      </c>
      <c r="Q75">
        <f>IF(LEFT(O75,2)="CM","See Tier Definitions for CM handling",IF(O75="T1_Clean",IF(P75="OK","Edit invoice to remove tax (immediate)","Edit blocked — requires period unlock by accounting"),IF(O75="T2_FullUnpaid","Hold for accounting decision: remove now or wait for payment",IF(O75="T3_Mismatch","Manual investigation of payment trail in NetSuite required",IF(O75="T0_NoTax","Tax not on invoice — flag back to accounting (collection or other issue)","")))))</f>
        <v/>
      </c>
      <c r="R75" s="8" t="inlineStr">
        <is>
          <t>Sales Tax - Received exemption certificate, will resolve shortly</t>
        </is>
      </c>
    </row>
    <row r="76">
      <c r="A76" t="n">
        <v>642027</v>
      </c>
      <c r="B76" t="inlineStr">
        <is>
          <t>INV685467</t>
        </is>
      </c>
      <c r="C76" t="inlineStr">
        <is>
          <t>CustInvc</t>
        </is>
      </c>
      <c r="D76" t="inlineStr">
        <is>
          <t>1727</t>
        </is>
      </c>
      <c r="E76" t="inlineStr">
        <is>
          <t>Heath Hollis (Burkhart)</t>
        </is>
      </c>
      <c r="F76" s="15" t="n">
        <v>46108</v>
      </c>
      <c r="G76" s="15" t="n">
        <v>46138</v>
      </c>
      <c r="H76">
        <f>IFERROR(INDEX('Period Status'!$A$2:$A$16,MATCH(1,(F76&gt;='Period Status'!$C$2:$C$16)*(F76&lt;='Period Status'!$D$2:$D$16),0)),"?")</f>
        <v/>
      </c>
      <c r="I76">
        <f>IFERROR(VLOOKUP(H76,'Period Status'!$A$2:$I$16,9,FALSE),"?")</f>
        <v/>
      </c>
      <c r="J76" s="7" t="n">
        <v>318.38</v>
      </c>
      <c r="K76" s="7" t="n">
        <v>21.38</v>
      </c>
      <c r="L76" s="7">
        <f>ROUND(J76-K76,2)</f>
        <v/>
      </c>
      <c r="M76" s="11" t="n">
        <v>21.38</v>
      </c>
      <c r="N76" s="7">
        <f>ROUND(K76-M76,2)</f>
        <v/>
      </c>
      <c r="O76">
        <f>IF(M76=0,"T0_NoTax",IF(ABS(K76-M76)&lt;0.01,"T1_Clean",IF(L76=0,"T2_FullUnpaid","T3_Mismatch")))</f>
        <v/>
      </c>
      <c r="P76">
        <f>I76</f>
        <v/>
      </c>
      <c r="Q76">
        <f>IF(LEFT(O76,2)="CM","See Tier Definitions for CM handling",IF(O76="T1_Clean",IF(P76="OK","Edit invoice to remove tax (immediate)","Edit blocked — requires period unlock by accounting"),IF(O76="T2_FullUnpaid","Hold for accounting decision: remove now or wait for payment",IF(O76="T3_Mismatch","Manual investigation of payment trail in NetSuite required",IF(O76="T0_NoTax","Tax not on invoice — flag back to accounting (collection or other issue)","")))))</f>
        <v/>
      </c>
      <c r="R76" s="8" t="inlineStr">
        <is>
          <t>Sales Tax - Received exemption certificate, will resolve shortly</t>
        </is>
      </c>
    </row>
    <row r="77">
      <c r="A77" t="n">
        <v>659857</v>
      </c>
      <c r="B77" t="inlineStr">
        <is>
          <t>INV685987</t>
        </is>
      </c>
      <c r="C77" t="inlineStr">
        <is>
          <t>CustInvc</t>
        </is>
      </c>
      <c r="D77" t="inlineStr">
        <is>
          <t>1727</t>
        </is>
      </c>
      <c r="E77" t="inlineStr">
        <is>
          <t>Heath Hollis (Burkhart)</t>
        </is>
      </c>
      <c r="F77" s="15" t="n">
        <v>46115</v>
      </c>
      <c r="G77" s="15" t="n">
        <v>46145</v>
      </c>
      <c r="H77">
        <f>IFERROR(INDEX('Period Status'!$A$2:$A$16,MATCH(1,(F77&gt;='Period Status'!$C$2:$C$16)*(F77&lt;='Period Status'!$D$2:$D$16),0)),"?")</f>
        <v/>
      </c>
      <c r="I77">
        <f>IFERROR(VLOOKUP(H77,'Period Status'!$A$2:$I$16,9,FALSE),"?")</f>
        <v/>
      </c>
      <c r="J77" s="7" t="n">
        <v>87.5</v>
      </c>
      <c r="K77" s="7" t="n">
        <v>5.45</v>
      </c>
      <c r="L77" s="7">
        <f>ROUND(J77-K77,2)</f>
        <v/>
      </c>
      <c r="M77" s="11" t="n">
        <v>5.45</v>
      </c>
      <c r="N77" s="7">
        <f>ROUND(K77-M77,2)</f>
        <v/>
      </c>
      <c r="O77">
        <f>IF(M77=0,"T0_NoTax",IF(ABS(K77-M77)&lt;0.01,"T1_Clean",IF(L77=0,"T2_FullUnpaid","T3_Mismatch")))</f>
        <v/>
      </c>
      <c r="P77">
        <f>I77</f>
        <v/>
      </c>
      <c r="Q77">
        <f>IF(LEFT(O77,2)="CM","See Tier Definitions for CM handling",IF(O77="T1_Clean",IF(P77="OK","Edit invoice to remove tax (immediate)","Edit blocked — requires period unlock by accounting"),IF(O77="T2_FullUnpaid","Hold for accounting decision: remove now or wait for payment",IF(O77="T3_Mismatch","Manual investigation of payment trail in NetSuite required",IF(O77="T0_NoTax","Tax not on invoice — flag back to accounting (collection or other issue)","")))))</f>
        <v/>
      </c>
      <c r="R77" s="8" t="inlineStr">
        <is>
          <t>Sales Tax - Received exemption certificate, will resolve shortly</t>
        </is>
      </c>
    </row>
    <row r="78">
      <c r="A78" t="n">
        <v>659862</v>
      </c>
      <c r="B78" t="inlineStr">
        <is>
          <t>INV685991</t>
        </is>
      </c>
      <c r="C78" t="inlineStr">
        <is>
          <t>CustInvc</t>
        </is>
      </c>
      <c r="D78" t="inlineStr">
        <is>
          <t>1727</t>
        </is>
      </c>
      <c r="E78" t="inlineStr">
        <is>
          <t>Heath Hollis (Burkhart)</t>
        </is>
      </c>
      <c r="F78" s="15" t="n">
        <v>46115</v>
      </c>
      <c r="G78" s="15" t="n">
        <v>46145</v>
      </c>
      <c r="H78">
        <f>IFERROR(INDEX('Period Status'!$A$2:$A$16,MATCH(1,(F78&gt;='Period Status'!$C$2:$C$16)*(F78&lt;='Period Status'!$D$2:$D$16),0)),"?")</f>
        <v/>
      </c>
      <c r="I78">
        <f>IFERROR(VLOOKUP(H78,'Period Status'!$A$2:$I$16,9,FALSE),"?")</f>
        <v/>
      </c>
      <c r="J78" s="7" t="n">
        <v>171.35</v>
      </c>
      <c r="K78" s="7" t="n">
        <v>13.57</v>
      </c>
      <c r="L78" s="7">
        <f>ROUND(J78-K78,2)</f>
        <v/>
      </c>
      <c r="M78" s="11" t="n">
        <v>13.57</v>
      </c>
      <c r="N78" s="7">
        <f>ROUND(K78-M78,2)</f>
        <v/>
      </c>
      <c r="O78">
        <f>IF(M78=0,"T0_NoTax",IF(ABS(K78-M78)&lt;0.01,"T1_Clean",IF(L78=0,"T2_FullUnpaid","T3_Mismatch")))</f>
        <v/>
      </c>
      <c r="P78">
        <f>I78</f>
        <v/>
      </c>
      <c r="Q78">
        <f>IF(LEFT(O78,2)="CM","See Tier Definitions for CM handling",IF(O78="T1_Clean",IF(P78="OK","Edit invoice to remove tax (immediate)","Edit blocked — requires period unlock by accounting"),IF(O78="T2_FullUnpaid","Hold for accounting decision: remove now or wait for payment",IF(O78="T3_Mismatch","Manual investigation of payment trail in NetSuite required",IF(O78="T0_NoTax","Tax not on invoice — flag back to accounting (collection or other issue)","")))))</f>
        <v/>
      </c>
      <c r="R78" s="8" t="inlineStr">
        <is>
          <t>Sales Tax - Received exemption certificate, will resolve shortly</t>
        </is>
      </c>
    </row>
    <row r="79">
      <c r="A79" t="n">
        <v>664912</v>
      </c>
      <c r="B79" t="inlineStr">
        <is>
          <t>INV686094</t>
        </is>
      </c>
      <c r="C79" t="inlineStr">
        <is>
          <t>CustInvc</t>
        </is>
      </c>
      <c r="D79" t="inlineStr">
        <is>
          <t>1727</t>
        </is>
      </c>
      <c r="E79" t="inlineStr">
        <is>
          <t>Heath Hollis (Burkhart)</t>
        </is>
      </c>
      <c r="F79" s="15" t="n">
        <v>46119</v>
      </c>
      <c r="G79" s="15" t="n">
        <v>46149</v>
      </c>
      <c r="H79">
        <f>IFERROR(INDEX('Period Status'!$A$2:$A$16,MATCH(1,(F79&gt;='Period Status'!$C$2:$C$16)*(F79&lt;='Period Status'!$D$2:$D$16),0)),"?")</f>
        <v/>
      </c>
      <c r="I79">
        <f>IFERROR(VLOOKUP(H79,'Period Status'!$A$2:$I$16,9,FALSE),"?")</f>
        <v/>
      </c>
      <c r="J79" s="7" t="n">
        <v>84.03</v>
      </c>
      <c r="K79" s="7" t="n">
        <v>6.39</v>
      </c>
      <c r="L79" s="7">
        <f>ROUND(J79-K79,2)</f>
        <v/>
      </c>
      <c r="M79" s="11" t="n">
        <v>6.39</v>
      </c>
      <c r="N79" s="7">
        <f>ROUND(K79-M79,2)</f>
        <v/>
      </c>
      <c r="O79">
        <f>IF(M79=0,"T0_NoTax",IF(ABS(K79-M79)&lt;0.01,"T1_Clean",IF(L79=0,"T2_FullUnpaid","T3_Mismatch")))</f>
        <v/>
      </c>
      <c r="P79">
        <f>I79</f>
        <v/>
      </c>
      <c r="Q79">
        <f>IF(LEFT(O79,2)="CM","See Tier Definitions for CM handling",IF(O79="T1_Clean",IF(P79="OK","Edit invoice to remove tax (immediate)","Edit blocked — requires period unlock by accounting"),IF(O79="T2_FullUnpaid","Hold for accounting decision: remove now or wait for payment",IF(O79="T3_Mismatch","Manual investigation of payment trail in NetSuite required",IF(O79="T0_NoTax","Tax not on invoice — flag back to accounting (collection or other issue)","")))))</f>
        <v/>
      </c>
      <c r="R79" s="8" t="inlineStr">
        <is>
          <t>Sales Tax - Received exemption certificate, will resolve shortly</t>
        </is>
      </c>
    </row>
    <row r="80">
      <c r="A80" t="n">
        <v>668737</v>
      </c>
      <c r="B80" t="inlineStr">
        <is>
          <t>INV686279</t>
        </is>
      </c>
      <c r="C80" t="inlineStr">
        <is>
          <t>CustInvc</t>
        </is>
      </c>
      <c r="D80" t="inlineStr">
        <is>
          <t>1727</t>
        </is>
      </c>
      <c r="E80" t="inlineStr">
        <is>
          <t>Heath Hollis (Burkhart)</t>
        </is>
      </c>
      <c r="F80" s="15" t="n">
        <v>46120</v>
      </c>
      <c r="G80" s="15" t="n">
        <v>46150</v>
      </c>
      <c r="H80">
        <f>IFERROR(INDEX('Period Status'!$A$2:$A$16,MATCH(1,(F80&gt;='Period Status'!$C$2:$C$16)*(F80&lt;='Period Status'!$D$2:$D$16),0)),"?")</f>
        <v/>
      </c>
      <c r="I80">
        <f>IFERROR(VLOOKUP(H80,'Period Status'!$A$2:$I$16,9,FALSE),"?")</f>
        <v/>
      </c>
      <c r="J80" s="7" t="n">
        <v>77.09999999999999</v>
      </c>
      <c r="K80" s="7" t="n">
        <v>77.09999999999999</v>
      </c>
      <c r="L80" s="7">
        <f>ROUND(J80-K80,2)</f>
        <v/>
      </c>
      <c r="M80" s="11" t="n">
        <v>7.26</v>
      </c>
      <c r="N80" s="7">
        <f>ROUND(K80-M80,2)</f>
        <v/>
      </c>
      <c r="O80">
        <f>IF(M80=0,"T0_NoTax",IF(ABS(K80-M80)&lt;0.01,"T1_Clean",IF(L80=0,"T2_FullUnpaid","T3_Mismatch")))</f>
        <v/>
      </c>
      <c r="P80">
        <f>I80</f>
        <v/>
      </c>
      <c r="Q80">
        <f>IF(LEFT(O80,2)="CM","See Tier Definitions for CM handling",IF(O80="T1_Clean",IF(P80="OK","Edit invoice to remove tax (immediate)","Edit blocked — requires period unlock by accounting"),IF(O80="T2_FullUnpaid","Hold for accounting decision: remove now or wait for payment",IF(O80="T3_Mismatch","Manual investigation of payment trail in NetSuite required",IF(O80="T0_NoTax","Tax not on invoice — flag back to accounting (collection or other issue)","")))))</f>
        <v/>
      </c>
      <c r="R80" s="8" t="inlineStr">
        <is>
          <t>Sales Tax - Received exemption certificate, will resolve shortly</t>
        </is>
      </c>
    </row>
    <row r="81">
      <c r="A81" t="n">
        <v>678892</v>
      </c>
      <c r="B81" t="inlineStr">
        <is>
          <t>INV686632</t>
        </is>
      </c>
      <c r="C81" t="inlineStr">
        <is>
          <t>CustInvc</t>
        </is>
      </c>
      <c r="D81" t="inlineStr">
        <is>
          <t>1727</t>
        </is>
      </c>
      <c r="E81" t="inlineStr">
        <is>
          <t>Heath Hollis (Burkhart)</t>
        </is>
      </c>
      <c r="F81" s="15" t="n">
        <v>46125</v>
      </c>
      <c r="G81" s="15" t="n">
        <v>46155</v>
      </c>
      <c r="H81">
        <f>IFERROR(INDEX('Period Status'!$A$2:$A$16,MATCH(1,(F81&gt;='Period Status'!$C$2:$C$16)*(F81&lt;='Period Status'!$D$2:$D$16),0)),"?")</f>
        <v/>
      </c>
      <c r="I81">
        <f>IFERROR(VLOOKUP(H81,'Period Status'!$A$2:$I$16,9,FALSE),"?")</f>
        <v/>
      </c>
      <c r="J81" s="7" t="n">
        <v>266.16</v>
      </c>
      <c r="K81" s="7" t="n">
        <v>21.74</v>
      </c>
      <c r="L81" s="7">
        <f>ROUND(J81-K81,2)</f>
        <v/>
      </c>
      <c r="M81" s="11" t="n">
        <v>21.74</v>
      </c>
      <c r="N81" s="7">
        <f>ROUND(K81-M81,2)</f>
        <v/>
      </c>
      <c r="O81">
        <f>IF(M81=0,"T0_NoTax",IF(ABS(K81-M81)&lt;0.01,"T1_Clean",IF(L81=0,"T2_FullUnpaid","T3_Mismatch")))</f>
        <v/>
      </c>
      <c r="P81">
        <f>I81</f>
        <v/>
      </c>
      <c r="Q81">
        <f>IF(LEFT(O81,2)="CM","See Tier Definitions for CM handling",IF(O81="T1_Clean",IF(P81="OK","Edit invoice to remove tax (immediate)","Edit blocked — requires period unlock by accounting"),IF(O81="T2_FullUnpaid","Hold for accounting decision: remove now or wait for payment",IF(O81="T3_Mismatch","Manual investigation of payment trail in NetSuite required",IF(O81="T0_NoTax","Tax not on invoice — flag back to accounting (collection or other issue)","")))))</f>
        <v/>
      </c>
      <c r="R81" s="8" t="inlineStr">
        <is>
          <t>Sales Tax - Received exemption certificate, will resolve shortly</t>
        </is>
      </c>
    </row>
    <row r="82">
      <c r="A82" t="n">
        <v>678894</v>
      </c>
      <c r="B82" t="inlineStr">
        <is>
          <t>INV686634</t>
        </is>
      </c>
      <c r="C82" t="inlineStr">
        <is>
          <t>CustInvc</t>
        </is>
      </c>
      <c r="D82" t="inlineStr">
        <is>
          <t>1727</t>
        </is>
      </c>
      <c r="E82" t="inlineStr">
        <is>
          <t>Heath Hollis (Burkhart)</t>
        </is>
      </c>
      <c r="F82" s="15" t="n">
        <v>46125</v>
      </c>
      <c r="G82" s="15" t="n">
        <v>46155</v>
      </c>
      <c r="H82">
        <f>IFERROR(INDEX('Period Status'!$A$2:$A$16,MATCH(1,(F82&gt;='Period Status'!$C$2:$C$16)*(F82&lt;='Period Status'!$D$2:$D$16),0)),"?")</f>
        <v/>
      </c>
      <c r="I82">
        <f>IFERROR(VLOOKUP(H82,'Period Status'!$A$2:$I$16,9,FALSE),"?")</f>
        <v/>
      </c>
      <c r="J82" s="7" t="n">
        <v>181.71</v>
      </c>
      <c r="K82" s="7" t="n">
        <v>7.08</v>
      </c>
      <c r="L82" s="7">
        <f>ROUND(J82-K82,2)</f>
        <v/>
      </c>
      <c r="M82" s="11" t="n">
        <v>7.08</v>
      </c>
      <c r="N82" s="7">
        <f>ROUND(K82-M82,2)</f>
        <v/>
      </c>
      <c r="O82">
        <f>IF(M82=0,"T0_NoTax",IF(ABS(K82-M82)&lt;0.01,"T1_Clean",IF(L82=0,"T2_FullUnpaid","T3_Mismatch")))</f>
        <v/>
      </c>
      <c r="P82">
        <f>I82</f>
        <v/>
      </c>
      <c r="Q82">
        <f>IF(LEFT(O82,2)="CM","See Tier Definitions for CM handling",IF(O82="T1_Clean",IF(P82="OK","Edit invoice to remove tax (immediate)","Edit blocked — requires period unlock by accounting"),IF(O82="T2_FullUnpaid","Hold for accounting decision: remove now or wait for payment",IF(O82="T3_Mismatch","Manual investigation of payment trail in NetSuite required",IF(O82="T0_NoTax","Tax not on invoice — flag back to accounting (collection or other issue)","")))))</f>
        <v/>
      </c>
      <c r="R82" s="8" t="inlineStr">
        <is>
          <t>Sales Tax - Received exemption certificate, will resolve shortly</t>
        </is>
      </c>
    </row>
    <row r="83">
      <c r="A83" t="n">
        <v>682598</v>
      </c>
      <c r="B83" t="inlineStr">
        <is>
          <t>INV686720</t>
        </is>
      </c>
      <c r="C83" t="inlineStr">
        <is>
          <t>CustInvc</t>
        </is>
      </c>
      <c r="D83" t="inlineStr">
        <is>
          <t>1727</t>
        </is>
      </c>
      <c r="E83" t="inlineStr">
        <is>
          <t>Heath Hollis (Burkhart)</t>
        </is>
      </c>
      <c r="F83" s="15" t="n">
        <v>46127</v>
      </c>
      <c r="G83" s="15" t="n">
        <v>46157</v>
      </c>
      <c r="H83">
        <f>IFERROR(INDEX('Period Status'!$A$2:$A$16,MATCH(1,(F83&gt;='Period Status'!$C$2:$C$16)*(F83&lt;='Period Status'!$D$2:$D$16),0)),"?")</f>
        <v/>
      </c>
      <c r="I83">
        <f>IFERROR(VLOOKUP(H83,'Period Status'!$A$2:$I$16,9,FALSE),"?")</f>
        <v/>
      </c>
      <c r="J83" s="7" t="n">
        <v>43.7</v>
      </c>
      <c r="K83" s="7" t="n">
        <v>1.21</v>
      </c>
      <c r="L83" s="7">
        <f>ROUND(J83-K83,2)</f>
        <v/>
      </c>
      <c r="M83" s="11" t="n">
        <v>1.21</v>
      </c>
      <c r="N83" s="7">
        <f>ROUND(K83-M83,2)</f>
        <v/>
      </c>
      <c r="O83">
        <f>IF(M83=0,"T0_NoTax",IF(ABS(K83-M83)&lt;0.01,"T1_Clean",IF(L83=0,"T2_FullUnpaid","T3_Mismatch")))</f>
        <v/>
      </c>
      <c r="P83">
        <f>I83</f>
        <v/>
      </c>
      <c r="Q83">
        <f>IF(LEFT(O83,2)="CM","See Tier Definitions for CM handling",IF(O83="T1_Clean",IF(P83="OK","Edit invoice to remove tax (immediate)","Edit blocked — requires period unlock by accounting"),IF(O83="T2_FullUnpaid","Hold for accounting decision: remove now or wait for payment",IF(O83="T3_Mismatch","Manual investigation of payment trail in NetSuite required",IF(O83="T0_NoTax","Tax not on invoice — flag back to accounting (collection or other issue)","")))))</f>
        <v/>
      </c>
      <c r="R83" s="8" t="inlineStr">
        <is>
          <t>Sales Tax - Received exemption certificate, will resolve shortly</t>
        </is>
      </c>
    </row>
    <row r="84">
      <c r="A84" t="n">
        <v>694663</v>
      </c>
      <c r="B84" t="inlineStr">
        <is>
          <t>INV687084</t>
        </is>
      </c>
      <c r="C84" t="inlineStr">
        <is>
          <t>CustInvc</t>
        </is>
      </c>
      <c r="D84" t="inlineStr">
        <is>
          <t>1727</t>
        </is>
      </c>
      <c r="E84" t="inlineStr">
        <is>
          <t>Heath Hollis (Burkhart)</t>
        </is>
      </c>
      <c r="F84" s="15" t="n">
        <v>46132</v>
      </c>
      <c r="G84" s="15" t="n">
        <v>46162</v>
      </c>
      <c r="H84">
        <f>IFERROR(INDEX('Period Status'!$A$2:$A$16,MATCH(1,(F84&gt;='Period Status'!$C$2:$C$16)*(F84&lt;='Period Status'!$D$2:$D$16),0)),"?")</f>
        <v/>
      </c>
      <c r="I84">
        <f>IFERROR(VLOOKUP(H84,'Period Status'!$A$2:$I$16,9,FALSE),"?")</f>
        <v/>
      </c>
      <c r="J84" s="7" t="n">
        <v>219.14</v>
      </c>
      <c r="K84" s="7" t="n">
        <v>9.74</v>
      </c>
      <c r="L84" s="7">
        <f>ROUND(J84-K84,2)</f>
        <v/>
      </c>
      <c r="M84" s="11" t="n">
        <v>9.74</v>
      </c>
      <c r="N84" s="7">
        <f>ROUND(K84-M84,2)</f>
        <v/>
      </c>
      <c r="O84">
        <f>IF(M84=0,"T0_NoTax",IF(ABS(K84-M84)&lt;0.01,"T1_Clean",IF(L84=0,"T2_FullUnpaid","T3_Mismatch")))</f>
        <v/>
      </c>
      <c r="P84">
        <f>I84</f>
        <v/>
      </c>
      <c r="Q84">
        <f>IF(LEFT(O84,2)="CM","See Tier Definitions for CM handling",IF(O84="T1_Clean",IF(P84="OK","Edit invoice to remove tax (immediate)","Edit blocked — requires period unlock by accounting"),IF(O84="T2_FullUnpaid","Hold for accounting decision: remove now or wait for payment",IF(O84="T3_Mismatch","Manual investigation of payment trail in NetSuite required",IF(O84="T0_NoTax","Tax not on invoice — flag back to accounting (collection or other issue)","")))))</f>
        <v/>
      </c>
      <c r="R84" s="8" t="inlineStr">
        <is>
          <t>Sales Tax - Received exemption certificate, will resolve shortly</t>
        </is>
      </c>
    </row>
    <row r="85">
      <c r="A85" t="n">
        <v>694671</v>
      </c>
      <c r="B85" t="inlineStr">
        <is>
          <t>INV687090</t>
        </is>
      </c>
      <c r="C85" t="inlineStr">
        <is>
          <t>CustInvc</t>
        </is>
      </c>
      <c r="D85" t="inlineStr">
        <is>
          <t>1727</t>
        </is>
      </c>
      <c r="E85" t="inlineStr">
        <is>
          <t>Heath Hollis (Burkhart)</t>
        </is>
      </c>
      <c r="F85" s="15" t="n">
        <v>46132</v>
      </c>
      <c r="G85" s="15" t="n">
        <v>46162</v>
      </c>
      <c r="H85">
        <f>IFERROR(INDEX('Period Status'!$A$2:$A$16,MATCH(1,(F85&gt;='Period Status'!$C$2:$C$16)*(F85&lt;='Period Status'!$D$2:$D$16),0)),"?")</f>
        <v/>
      </c>
      <c r="I85">
        <f>IFERROR(VLOOKUP(H85,'Period Status'!$A$2:$I$16,9,FALSE),"?")</f>
        <v/>
      </c>
      <c r="J85" s="7" t="n">
        <v>188.84</v>
      </c>
      <c r="K85" s="7" t="n">
        <v>13.51</v>
      </c>
      <c r="L85" s="7">
        <f>ROUND(J85-K85,2)</f>
        <v/>
      </c>
      <c r="M85" s="11" t="n">
        <v>13.51</v>
      </c>
      <c r="N85" s="7">
        <f>ROUND(K85-M85,2)</f>
        <v/>
      </c>
      <c r="O85">
        <f>IF(M85=0,"T0_NoTax",IF(ABS(K85-M85)&lt;0.01,"T1_Clean",IF(L85=0,"T2_FullUnpaid","T3_Mismatch")))</f>
        <v/>
      </c>
      <c r="P85">
        <f>I85</f>
        <v/>
      </c>
      <c r="Q85">
        <f>IF(LEFT(O85,2)="CM","See Tier Definitions for CM handling",IF(O85="T1_Clean",IF(P85="OK","Edit invoice to remove tax (immediate)","Edit blocked — requires period unlock by accounting"),IF(O85="T2_FullUnpaid","Hold for accounting decision: remove now or wait for payment",IF(O85="T3_Mismatch","Manual investigation of payment trail in NetSuite required",IF(O85="T0_NoTax","Tax not on invoice — flag back to accounting (collection or other issue)","")))))</f>
        <v/>
      </c>
      <c r="R85" s="8" t="inlineStr">
        <is>
          <t>Sales Tax - Received exemption certificate, will resolve shortly</t>
        </is>
      </c>
    </row>
    <row r="86">
      <c r="A86" t="n">
        <v>704655</v>
      </c>
      <c r="B86" t="inlineStr">
        <is>
          <t>INV687397</t>
        </is>
      </c>
      <c r="C86" t="inlineStr">
        <is>
          <t>CustInvc</t>
        </is>
      </c>
      <c r="D86" t="inlineStr">
        <is>
          <t>1727</t>
        </is>
      </c>
      <c r="E86" t="inlineStr">
        <is>
          <t>Heath Hollis (Burkhart)</t>
        </is>
      </c>
      <c r="F86" s="15" t="n">
        <v>46135</v>
      </c>
      <c r="G86" s="15" t="n">
        <v>46165</v>
      </c>
      <c r="H86">
        <f>IFERROR(INDEX('Period Status'!$A$2:$A$16,MATCH(1,(F86&gt;='Period Status'!$C$2:$C$16)*(F86&lt;='Period Status'!$D$2:$D$16),0)),"?")</f>
        <v/>
      </c>
      <c r="I86">
        <f>IFERROR(VLOOKUP(H86,'Period Status'!$A$2:$I$16,9,FALSE),"?")</f>
        <v/>
      </c>
      <c r="J86" s="7" t="n">
        <v>670.53</v>
      </c>
      <c r="K86" s="7" t="n">
        <v>51.85</v>
      </c>
      <c r="L86" s="7">
        <f>ROUND(J86-K86,2)</f>
        <v/>
      </c>
      <c r="M86" s="11" t="n">
        <v>51.85</v>
      </c>
      <c r="N86" s="7">
        <f>ROUND(K86-M86,2)</f>
        <v/>
      </c>
      <c r="O86">
        <f>IF(M86=0,"T0_NoTax",IF(ABS(K86-M86)&lt;0.01,"T1_Clean",IF(L86=0,"T2_FullUnpaid","T3_Mismatch")))</f>
        <v/>
      </c>
      <c r="P86">
        <f>I86</f>
        <v/>
      </c>
      <c r="Q86">
        <f>IF(LEFT(O86,2)="CM","See Tier Definitions for CM handling",IF(O86="T1_Clean",IF(P86="OK","Edit invoice to remove tax (immediate)","Edit blocked — requires period unlock by accounting"),IF(O86="T2_FullUnpaid","Hold for accounting decision: remove now or wait for payment",IF(O86="T3_Mismatch","Manual investigation of payment trail in NetSuite required",IF(O86="T0_NoTax","Tax not on invoice — flag back to accounting (collection or other issue)","")))))</f>
        <v/>
      </c>
      <c r="R86" s="8" t="inlineStr">
        <is>
          <t>Sales Tax - Received exemption certificate, will resolve shortly</t>
        </is>
      </c>
    </row>
    <row r="87">
      <c r="A87" t="n">
        <v>704665</v>
      </c>
      <c r="B87" t="inlineStr">
        <is>
          <t>INV687407</t>
        </is>
      </c>
      <c r="C87" t="inlineStr">
        <is>
          <t>CustInvc</t>
        </is>
      </c>
      <c r="D87" t="inlineStr">
        <is>
          <t>1727</t>
        </is>
      </c>
      <c r="E87" t="inlineStr">
        <is>
          <t>Heath Hollis (Burkhart)</t>
        </is>
      </c>
      <c r="F87" s="15" t="n">
        <v>46135</v>
      </c>
      <c r="G87" s="15" t="n">
        <v>46165</v>
      </c>
      <c r="H87">
        <f>IFERROR(INDEX('Period Status'!$A$2:$A$16,MATCH(1,(F87&gt;='Period Status'!$C$2:$C$16)*(F87&lt;='Period Status'!$D$2:$D$16),0)),"?")</f>
        <v/>
      </c>
      <c r="I87">
        <f>IFERROR(VLOOKUP(H87,'Period Status'!$A$2:$I$16,9,FALSE),"?")</f>
        <v/>
      </c>
      <c r="J87" s="7" t="n">
        <v>125.71</v>
      </c>
      <c r="K87" s="7" t="n">
        <v>1.25</v>
      </c>
      <c r="L87" s="7">
        <f>ROUND(J87-K87,2)</f>
        <v/>
      </c>
      <c r="M87" s="11" t="n">
        <v>1.25</v>
      </c>
      <c r="N87" s="7">
        <f>ROUND(K87-M87,2)</f>
        <v/>
      </c>
      <c r="O87">
        <f>IF(M87=0,"T0_NoTax",IF(ABS(K87-M87)&lt;0.01,"T1_Clean",IF(L87=0,"T2_FullUnpaid","T3_Mismatch")))</f>
        <v/>
      </c>
      <c r="P87">
        <f>I87</f>
        <v/>
      </c>
      <c r="Q87">
        <f>IF(LEFT(O87,2)="CM","See Tier Definitions for CM handling",IF(O87="T1_Clean",IF(P87="OK","Edit invoice to remove tax (immediate)","Edit blocked — requires period unlock by accounting"),IF(O87="T2_FullUnpaid","Hold for accounting decision: remove now or wait for payment",IF(O87="T3_Mismatch","Manual investigation of payment trail in NetSuite required",IF(O87="T0_NoTax","Tax not on invoice — flag back to accounting (collection or other issue)","")))))</f>
        <v/>
      </c>
      <c r="R87" s="8" t="inlineStr">
        <is>
          <t>Sales Tax - Received exemption certificate, will resolve shortly</t>
        </is>
      </c>
    </row>
    <row r="88">
      <c r="A88" t="n">
        <v>723038</v>
      </c>
      <c r="B88" t="inlineStr">
        <is>
          <t>INV687698</t>
        </is>
      </c>
      <c r="C88" t="inlineStr">
        <is>
          <t>CustInvc</t>
        </is>
      </c>
      <c r="D88" t="inlineStr">
        <is>
          <t>1727</t>
        </is>
      </c>
      <c r="E88" t="inlineStr">
        <is>
          <t>Heath Hollis (Burkhart)</t>
        </is>
      </c>
      <c r="F88" s="15" t="n">
        <v>46143</v>
      </c>
      <c r="G88" s="15" t="n">
        <v>46173</v>
      </c>
      <c r="H88">
        <f>IFERROR(INDEX('Period Status'!$A$2:$A$16,MATCH(1,(F88&gt;='Period Status'!$C$2:$C$16)*(F88&lt;='Period Status'!$D$2:$D$16),0)),"?")</f>
        <v/>
      </c>
      <c r="I88">
        <f>IFERROR(VLOOKUP(H88,'Period Status'!$A$2:$I$16,9,FALSE),"?")</f>
        <v/>
      </c>
      <c r="J88" s="7" t="n">
        <v>201.57</v>
      </c>
      <c r="K88" s="7" t="n">
        <v>41.09</v>
      </c>
      <c r="L88" s="7">
        <f>ROUND(J88-K88,2)</f>
        <v/>
      </c>
      <c r="M88" s="11" t="n">
        <v>15.39</v>
      </c>
      <c r="N88" s="7">
        <f>ROUND(K88-M88,2)</f>
        <v/>
      </c>
      <c r="O88">
        <f>IF(M88=0,"T0_NoTax",IF(ABS(K88-M88)&lt;0.01,"T1_Clean",IF(L88=0,"T2_FullUnpaid","T3_Mismatch")))</f>
        <v/>
      </c>
      <c r="P88">
        <f>I88</f>
        <v/>
      </c>
      <c r="Q88">
        <f>IF(LEFT(O88,2)="CM","See Tier Definitions for CM handling",IF(O88="T1_Clean",IF(P88="OK","Edit invoice to remove tax (immediate)","Edit blocked — requires period unlock by accounting"),IF(O88="T2_FullUnpaid","Hold for accounting decision: remove now or wait for payment",IF(O88="T3_Mismatch","Manual investigation of payment trail in NetSuite required",IF(O88="T0_NoTax","Tax not on invoice — flag back to accounting (collection or other issue)","")))))</f>
        <v/>
      </c>
      <c r="R88" s="8" t="inlineStr">
        <is>
          <t>Sales Tax - Received exemption certificate, will resolve shortly</t>
        </is>
      </c>
    </row>
    <row r="89">
      <c r="A89" t="n">
        <v>743034</v>
      </c>
      <c r="B89" t="inlineStr">
        <is>
          <t>INV688220</t>
        </is>
      </c>
      <c r="C89" t="inlineStr">
        <is>
          <t>CustInvc</t>
        </is>
      </c>
      <c r="D89" t="inlineStr">
        <is>
          <t>1727</t>
        </is>
      </c>
      <c r="E89" t="inlineStr">
        <is>
          <t>Heath Hollis (Burkhart)</t>
        </is>
      </c>
      <c r="F89" s="15" t="n">
        <v>46150</v>
      </c>
      <c r="G89" s="15" t="n">
        <v>46180</v>
      </c>
      <c r="H89">
        <f>IFERROR(INDEX('Period Status'!$A$2:$A$16,MATCH(1,(F89&gt;='Period Status'!$C$2:$C$16)*(F89&lt;='Period Status'!$D$2:$D$16),0)),"?")</f>
        <v/>
      </c>
      <c r="I89">
        <f>IFERROR(VLOOKUP(H89,'Period Status'!$A$2:$I$16,9,FALSE),"?")</f>
        <v/>
      </c>
      <c r="J89" s="7" t="n">
        <v>582.05</v>
      </c>
      <c r="K89" s="7" t="n">
        <v>582.05</v>
      </c>
      <c r="L89" s="7">
        <f>ROUND(J89-K89,2)</f>
        <v/>
      </c>
      <c r="M89" s="11" t="n">
        <v>37.93</v>
      </c>
      <c r="N89" s="7">
        <f>ROUND(K89-M89,2)</f>
        <v/>
      </c>
      <c r="O89">
        <f>IF(M89=0,"T0_NoTax",IF(ABS(K89-M89)&lt;0.01,"T1_Clean",IF(L89=0,"T2_FullUnpaid","T3_Mismatch")))</f>
        <v/>
      </c>
      <c r="P89">
        <f>I89</f>
        <v/>
      </c>
      <c r="Q89">
        <f>IF(LEFT(O89,2)="CM","See Tier Definitions for CM handling",IF(O89="T1_Clean",IF(P89="OK","Edit invoice to remove tax (immediate)","Edit blocked — requires period unlock by accounting"),IF(O89="T2_FullUnpaid","Hold for accounting decision: remove now or wait for payment",IF(O89="T3_Mismatch","Manual investigation of payment trail in NetSuite required",IF(O89="T0_NoTax","Tax not on invoice — flag back to accounting (collection or other issue)","")))))</f>
        <v/>
      </c>
      <c r="R89" s="8" t="inlineStr">
        <is>
          <t>Within 30 days of due date | Also will need S&amp;U adjusted if it is showing on the invoice.</t>
        </is>
      </c>
    </row>
    <row r="90">
      <c r="A90" t="n">
        <v>750061</v>
      </c>
      <c r="B90" t="inlineStr">
        <is>
          <t>INV688385</t>
        </is>
      </c>
      <c r="C90" t="inlineStr">
        <is>
          <t>CustInvc</t>
        </is>
      </c>
      <c r="D90" t="inlineStr">
        <is>
          <t>1727</t>
        </is>
      </c>
      <c r="E90" t="inlineStr">
        <is>
          <t>Heath Hollis (Burkhart)</t>
        </is>
      </c>
      <c r="F90" s="15" t="n">
        <v>46154</v>
      </c>
      <c r="G90" s="15" t="n">
        <v>46184</v>
      </c>
      <c r="H90">
        <f>IFERROR(INDEX('Period Status'!$A$2:$A$16,MATCH(1,(F90&gt;='Period Status'!$C$2:$C$16)*(F90&lt;='Period Status'!$D$2:$D$16),0)),"?")</f>
        <v/>
      </c>
      <c r="I90">
        <f>IFERROR(VLOOKUP(H90,'Period Status'!$A$2:$I$16,9,FALSE),"?")</f>
        <v/>
      </c>
      <c r="J90" s="7" t="n">
        <v>67.41</v>
      </c>
      <c r="K90" s="7" t="n">
        <v>67.41</v>
      </c>
      <c r="L90" s="7">
        <f>ROUND(J90-K90,2)</f>
        <v/>
      </c>
      <c r="M90" s="11" t="n">
        <v>0</v>
      </c>
      <c r="N90" s="7">
        <f>ROUND(K90-M90,2)</f>
        <v/>
      </c>
      <c r="O90">
        <f>IF(M90=0,"T0_NoTax",IF(ABS(K90-M90)&lt;0.01,"T1_Clean",IF(L90=0,"T2_FullUnpaid","T3_Mismatch")))</f>
        <v/>
      </c>
      <c r="P90">
        <f>I90</f>
        <v/>
      </c>
      <c r="Q90">
        <f>IF(LEFT(O90,2)="CM","See Tier Definitions for CM handling",IF(O90="T1_Clean",IF(P90="OK","Edit invoice to remove tax (immediate)","Edit blocked — requires period unlock by accounting"),IF(O90="T2_FullUnpaid","Hold for accounting decision: remove now or wait for payment",IF(O90="T3_Mismatch","Manual investigation of payment trail in NetSuite required",IF(O90="T0_NoTax","Tax not on invoice — flag back to accounting (collection or other issue)","")))))</f>
        <v/>
      </c>
      <c r="R90" s="8" t="inlineStr">
        <is>
          <t>Within 30 days of due date | Also will need S&amp;U adjusted if it is showing on the invoice.</t>
        </is>
      </c>
    </row>
    <row r="91">
      <c r="A91" t="n">
        <v>753421</v>
      </c>
      <c r="B91" t="inlineStr">
        <is>
          <t>INV688437</t>
        </is>
      </c>
      <c r="C91" t="inlineStr">
        <is>
          <t>CustInvc</t>
        </is>
      </c>
      <c r="D91" t="inlineStr">
        <is>
          <t>1727</t>
        </is>
      </c>
      <c r="E91" t="inlineStr">
        <is>
          <t>Heath Hollis (Burkhart)</t>
        </is>
      </c>
      <c r="F91" s="15" t="n">
        <v>46155</v>
      </c>
      <c r="G91" s="15" t="n">
        <v>46185</v>
      </c>
      <c r="H91">
        <f>IFERROR(INDEX('Period Status'!$A$2:$A$16,MATCH(1,(F91&gt;='Period Status'!$C$2:$C$16)*(F91&lt;='Period Status'!$D$2:$D$16),0)),"?")</f>
        <v/>
      </c>
      <c r="I91">
        <f>IFERROR(VLOOKUP(H91,'Period Status'!$A$2:$I$16,9,FALSE),"?")</f>
        <v/>
      </c>
      <c r="J91" s="7" t="n">
        <v>71.43000000000001</v>
      </c>
      <c r="K91" s="7" t="n">
        <v>71.43000000000001</v>
      </c>
      <c r="L91" s="7">
        <f>ROUND(J91-K91,2)</f>
        <v/>
      </c>
      <c r="M91" s="11" t="n">
        <v>6.73</v>
      </c>
      <c r="N91" s="7">
        <f>ROUND(K91-M91,2)</f>
        <v/>
      </c>
      <c r="O91">
        <f>IF(M91=0,"T0_NoTax",IF(ABS(K91-M91)&lt;0.01,"T1_Clean",IF(L91=0,"T2_FullUnpaid","T3_Mismatch")))</f>
        <v/>
      </c>
      <c r="P91">
        <f>I91</f>
        <v/>
      </c>
      <c r="Q91">
        <f>IF(LEFT(O91,2)="CM","See Tier Definitions for CM handling",IF(O91="T1_Clean",IF(P91="OK","Edit invoice to remove tax (immediate)","Edit blocked — requires period unlock by accounting"),IF(O91="T2_FullUnpaid","Hold for accounting decision: remove now or wait for payment",IF(O91="T3_Mismatch","Manual investigation of payment trail in NetSuite required",IF(O91="T0_NoTax","Tax not on invoice — flag back to accounting (collection or other issue)","")))))</f>
        <v/>
      </c>
      <c r="R91" s="8" t="inlineStr">
        <is>
          <t>Within 30 days of due date | Also will need S&amp;U adjusted if it is showing on the invoice.</t>
        </is>
      </c>
    </row>
    <row r="92">
      <c r="A92" t="n">
        <v>753469</v>
      </c>
      <c r="B92" t="inlineStr">
        <is>
          <t>INV688478</t>
        </is>
      </c>
      <c r="C92" t="inlineStr">
        <is>
          <t>CustInvc</t>
        </is>
      </c>
      <c r="D92" t="inlineStr">
        <is>
          <t>1727</t>
        </is>
      </c>
      <c r="E92" t="inlineStr">
        <is>
          <t>Heath Hollis (Burkhart)</t>
        </is>
      </c>
      <c r="F92" s="15" t="n">
        <v>46155</v>
      </c>
      <c r="G92" s="15" t="n">
        <v>46185</v>
      </c>
      <c r="H92">
        <f>IFERROR(INDEX('Period Status'!$A$2:$A$16,MATCH(1,(F92&gt;='Period Status'!$C$2:$C$16)*(F92&lt;='Period Status'!$D$2:$D$16),0)),"?")</f>
        <v/>
      </c>
      <c r="I92">
        <f>IFERROR(VLOOKUP(H92,'Period Status'!$A$2:$I$16,9,FALSE),"?")</f>
        <v/>
      </c>
      <c r="J92" s="7" t="n">
        <v>76.04000000000001</v>
      </c>
      <c r="K92" s="7" t="n">
        <v>76.04000000000001</v>
      </c>
      <c r="L92" s="7">
        <f>ROUND(J92-K92,2)</f>
        <v/>
      </c>
      <c r="M92" s="11" t="n">
        <v>5.81</v>
      </c>
      <c r="N92" s="7">
        <f>ROUND(K92-M92,2)</f>
        <v/>
      </c>
      <c r="O92">
        <f>IF(M92=0,"T0_NoTax",IF(ABS(K92-M92)&lt;0.01,"T1_Clean",IF(L92=0,"T2_FullUnpaid","T3_Mismatch")))</f>
        <v/>
      </c>
      <c r="P92">
        <f>I92</f>
        <v/>
      </c>
      <c r="Q92">
        <f>IF(LEFT(O92,2)="CM","See Tier Definitions for CM handling",IF(O92="T1_Clean",IF(P92="OK","Edit invoice to remove tax (immediate)","Edit blocked — requires period unlock by accounting"),IF(O92="T2_FullUnpaid","Hold for accounting decision: remove now or wait for payment",IF(O92="T3_Mismatch","Manual investigation of payment trail in NetSuite required",IF(O92="T0_NoTax","Tax not on invoice — flag back to accounting (collection or other issue)","")))))</f>
        <v/>
      </c>
      <c r="R92" s="8" t="inlineStr">
        <is>
          <t>Within 30 days of due date | Also will need S&amp;U adjusted if it is showing on the invoice.</t>
        </is>
      </c>
    </row>
    <row r="93">
      <c r="A93" t="n">
        <v>760472</v>
      </c>
      <c r="B93" t="inlineStr">
        <is>
          <t>INV688635</t>
        </is>
      </c>
      <c r="C93" t="inlineStr">
        <is>
          <t>CustInvc</t>
        </is>
      </c>
      <c r="D93" t="inlineStr">
        <is>
          <t>1727</t>
        </is>
      </c>
      <c r="E93" t="inlineStr">
        <is>
          <t>Heath Hollis (Burkhart)</t>
        </is>
      </c>
      <c r="F93" s="15" t="n">
        <v>46157</v>
      </c>
      <c r="G93" s="15" t="n">
        <v>46187</v>
      </c>
      <c r="H93">
        <f>IFERROR(INDEX('Period Status'!$A$2:$A$16,MATCH(1,(F93&gt;='Period Status'!$C$2:$C$16)*(F93&lt;='Period Status'!$D$2:$D$16),0)),"?")</f>
        <v/>
      </c>
      <c r="I93">
        <f>IFERROR(VLOOKUP(H93,'Period Status'!$A$2:$I$16,9,FALSE),"?")</f>
        <v/>
      </c>
      <c r="J93" s="7" t="n">
        <v>21.77</v>
      </c>
      <c r="K93" s="7" t="n">
        <v>21.77</v>
      </c>
      <c r="L93" s="7">
        <f>ROUND(J93-K93,2)</f>
        <v/>
      </c>
      <c r="M93" s="11" t="n">
        <v>0</v>
      </c>
      <c r="N93" s="7">
        <f>ROUND(K93-M93,2)</f>
        <v/>
      </c>
      <c r="O93">
        <f>IF(M93=0,"T0_NoTax",IF(ABS(K93-M93)&lt;0.01,"T1_Clean",IF(L93=0,"T2_FullUnpaid","T3_Mismatch")))</f>
        <v/>
      </c>
      <c r="P93">
        <f>I93</f>
        <v/>
      </c>
      <c r="Q93">
        <f>IF(LEFT(O93,2)="CM","See Tier Definitions for CM handling",IF(O93="T1_Clean",IF(P93="OK","Edit invoice to remove tax (immediate)","Edit blocked — requires period unlock by accounting"),IF(O93="T2_FullUnpaid","Hold for accounting decision: remove now or wait for payment",IF(O93="T3_Mismatch","Manual investigation of payment trail in NetSuite required",IF(O93="T0_NoTax","Tax not on invoice — flag back to accounting (collection or other issue)","")))))</f>
        <v/>
      </c>
      <c r="R93" s="8" t="inlineStr">
        <is>
          <t>Within 30 days of due date | Also will need S&amp;U adjusted if it is showing on the invoice.</t>
        </is>
      </c>
    </row>
    <row r="94">
      <c r="A94" t="n">
        <v>765927</v>
      </c>
      <c r="B94" t="inlineStr">
        <is>
          <t>INV688772</t>
        </is>
      </c>
      <c r="C94" t="inlineStr">
        <is>
          <t>CustInvc</t>
        </is>
      </c>
      <c r="D94" t="inlineStr">
        <is>
          <t>1727</t>
        </is>
      </c>
      <c r="E94" t="inlineStr">
        <is>
          <t>Heath Hollis (Burkhart)</t>
        </is>
      </c>
      <c r="F94" s="15" t="n">
        <v>46161</v>
      </c>
      <c r="G94" s="15" t="n">
        <v>46191</v>
      </c>
      <c r="H94">
        <f>IFERROR(INDEX('Period Status'!$A$2:$A$16,MATCH(1,(F94&gt;='Period Status'!$C$2:$C$16)*(F94&lt;='Period Status'!$D$2:$D$16),0)),"?")</f>
        <v/>
      </c>
      <c r="I94">
        <f>IFERROR(VLOOKUP(H94,'Period Status'!$A$2:$I$16,9,FALSE),"?")</f>
        <v/>
      </c>
      <c r="J94" s="7" t="n">
        <v>85.52</v>
      </c>
      <c r="K94" s="7" t="n">
        <v>85.52</v>
      </c>
      <c r="L94" s="7">
        <f>ROUND(J94-K94,2)</f>
        <v/>
      </c>
      <c r="M94" s="11" t="n">
        <v>1.25</v>
      </c>
      <c r="N94" s="7">
        <f>ROUND(K94-M94,2)</f>
        <v/>
      </c>
      <c r="O94">
        <f>IF(M94=0,"T0_NoTax",IF(ABS(K94-M94)&lt;0.01,"T1_Clean",IF(L94=0,"T2_FullUnpaid","T3_Mismatch")))</f>
        <v/>
      </c>
      <c r="P94">
        <f>I94</f>
        <v/>
      </c>
      <c r="Q94">
        <f>IF(LEFT(O94,2)="CM","See Tier Definitions for CM handling",IF(O94="T1_Clean",IF(P94="OK","Edit invoice to remove tax (immediate)","Edit blocked — requires period unlock by accounting"),IF(O94="T2_FullUnpaid","Hold for accounting decision: remove now or wait for payment",IF(O94="T3_Mismatch","Manual investigation of payment trail in NetSuite required",IF(O94="T0_NoTax","Tax not on invoice — flag back to accounting (collection or other issue)","")))))</f>
        <v/>
      </c>
      <c r="R94" s="8" t="inlineStr">
        <is>
          <t>Within 30 days of due date | Also will need S&amp;U adjusted if it is showing on the invoice.</t>
        </is>
      </c>
    </row>
    <row r="95">
      <c r="A95" t="n">
        <v>768051</v>
      </c>
      <c r="B95" t="inlineStr">
        <is>
          <t>INV688814</t>
        </is>
      </c>
      <c r="C95" t="inlineStr">
        <is>
          <t>CustInvc</t>
        </is>
      </c>
      <c r="D95" t="inlineStr">
        <is>
          <t>1727</t>
        </is>
      </c>
      <c r="E95" t="inlineStr">
        <is>
          <t>Heath Hollis (Burkhart)</t>
        </is>
      </c>
      <c r="F95" s="15" t="n">
        <v>46161</v>
      </c>
      <c r="G95" s="15" t="n">
        <v>46191</v>
      </c>
      <c r="H95">
        <f>IFERROR(INDEX('Period Status'!$A$2:$A$16,MATCH(1,(F95&gt;='Period Status'!$C$2:$C$16)*(F95&lt;='Period Status'!$D$2:$D$16),0)),"?")</f>
        <v/>
      </c>
      <c r="I95">
        <f>IFERROR(VLOOKUP(H95,'Period Status'!$A$2:$I$16,9,FALSE),"?")</f>
        <v/>
      </c>
      <c r="J95" s="7" t="n">
        <v>614.6799999999999</v>
      </c>
      <c r="K95" s="7" t="n">
        <v>614.6799999999999</v>
      </c>
      <c r="L95" s="7">
        <f>ROUND(J95-K95,2)</f>
        <v/>
      </c>
      <c r="M95" s="11" t="n">
        <v>49.01</v>
      </c>
      <c r="N95" s="7">
        <f>ROUND(K95-M95,2)</f>
        <v/>
      </c>
      <c r="O95">
        <f>IF(M95=0,"T0_NoTax",IF(ABS(K95-M95)&lt;0.01,"T1_Clean",IF(L95=0,"T2_FullUnpaid","T3_Mismatch")))</f>
        <v/>
      </c>
      <c r="P95">
        <f>I95</f>
        <v/>
      </c>
      <c r="Q95">
        <f>IF(LEFT(O95,2)="CM","See Tier Definitions for CM handling",IF(O95="T1_Clean",IF(P95="OK","Edit invoice to remove tax (immediate)","Edit blocked — requires period unlock by accounting"),IF(O95="T2_FullUnpaid","Hold for accounting decision: remove now or wait for payment",IF(O95="T3_Mismatch","Manual investigation of payment trail in NetSuite required",IF(O95="T0_NoTax","Tax not on invoice — flag back to accounting (collection or other issue)","")))))</f>
        <v/>
      </c>
      <c r="R95" s="8" t="inlineStr">
        <is>
          <t>Within 30 days of due date | Also will need S&amp;U adjusted if it is showing on the invoice.</t>
        </is>
      </c>
    </row>
    <row r="96">
      <c r="A96" t="n">
        <v>775423</v>
      </c>
      <c r="B96" t="inlineStr">
        <is>
          <t>INV689007</t>
        </is>
      </c>
      <c r="C96" t="inlineStr">
        <is>
          <t>CustInvc</t>
        </is>
      </c>
      <c r="D96" t="inlineStr">
        <is>
          <t>1727</t>
        </is>
      </c>
      <c r="E96" t="inlineStr">
        <is>
          <t>Heath Hollis (Burkhart)</t>
        </is>
      </c>
      <c r="F96" s="15" t="n">
        <v>46163</v>
      </c>
      <c r="G96" s="15" t="n">
        <v>46193</v>
      </c>
      <c r="H96">
        <f>IFERROR(INDEX('Period Status'!$A$2:$A$16,MATCH(1,(F96&gt;='Period Status'!$C$2:$C$16)*(F96&lt;='Period Status'!$D$2:$D$16),0)),"?")</f>
        <v/>
      </c>
      <c r="I96">
        <f>IFERROR(VLOOKUP(H96,'Period Status'!$A$2:$I$16,9,FALSE),"?")</f>
        <v/>
      </c>
      <c r="J96" s="7" t="n">
        <v>37.13</v>
      </c>
      <c r="K96" s="7" t="n">
        <v>37.13</v>
      </c>
      <c r="L96" s="7">
        <f>ROUND(J96-K96,2)</f>
        <v/>
      </c>
      <c r="M96" s="11" t="n">
        <v>2.83</v>
      </c>
      <c r="N96" s="7">
        <f>ROUND(K96-M96,2)</f>
        <v/>
      </c>
      <c r="O96">
        <f>IF(M96=0,"T0_NoTax",IF(ABS(K96-M96)&lt;0.01,"T1_Clean",IF(L96=0,"T2_FullUnpaid","T3_Mismatch")))</f>
        <v/>
      </c>
      <c r="P96">
        <f>I96</f>
        <v/>
      </c>
      <c r="Q96">
        <f>IF(LEFT(O96,2)="CM","See Tier Definitions for CM handling",IF(O96="T1_Clean",IF(P96="OK","Edit invoice to remove tax (immediate)","Edit blocked — requires period unlock by accounting"),IF(O96="T2_FullUnpaid","Hold for accounting decision: remove now or wait for payment",IF(O96="T3_Mismatch","Manual investigation of payment trail in NetSuite required",IF(O96="T0_NoTax","Tax not on invoice — flag back to accounting (collection or other issue)","")))))</f>
        <v/>
      </c>
      <c r="R96" s="8" t="inlineStr">
        <is>
          <t>Current | Also will need S&amp;U adjusted if it is showing on the invoice.</t>
        </is>
      </c>
    </row>
    <row r="97">
      <c r="A97" t="n">
        <v>780777</v>
      </c>
      <c r="B97" t="inlineStr">
        <is>
          <t>INV689112</t>
        </is>
      </c>
      <c r="C97" t="inlineStr">
        <is>
          <t>CustInvc</t>
        </is>
      </c>
      <c r="D97" t="inlineStr">
        <is>
          <t>1727</t>
        </is>
      </c>
      <c r="E97" t="inlineStr">
        <is>
          <t>Heath Hollis (Burkhart)</t>
        </is>
      </c>
      <c r="F97" s="15" t="n">
        <v>46164</v>
      </c>
      <c r="G97" s="15" t="n">
        <v>46194</v>
      </c>
      <c r="H97">
        <f>IFERROR(INDEX('Period Status'!$A$2:$A$16,MATCH(1,(F97&gt;='Period Status'!$C$2:$C$16)*(F97&lt;='Period Status'!$D$2:$D$16),0)),"?")</f>
        <v/>
      </c>
      <c r="I97">
        <f>IFERROR(VLOOKUP(H97,'Period Status'!$A$2:$I$16,9,FALSE),"?")</f>
        <v/>
      </c>
      <c r="J97" s="7" t="n">
        <v>216.33</v>
      </c>
      <c r="K97" s="7" t="n">
        <v>216.33</v>
      </c>
      <c r="L97" s="7">
        <f>ROUND(J97-K97,2)</f>
        <v/>
      </c>
      <c r="M97" s="11" t="n">
        <v>18.37</v>
      </c>
      <c r="N97" s="7">
        <f>ROUND(K97-M97,2)</f>
        <v/>
      </c>
      <c r="O97">
        <f>IF(M97=0,"T0_NoTax",IF(ABS(K97-M97)&lt;0.01,"T1_Clean",IF(L97=0,"T2_FullUnpaid","T3_Mismatch")))</f>
        <v/>
      </c>
      <c r="P97">
        <f>I97</f>
        <v/>
      </c>
      <c r="Q97">
        <f>IF(LEFT(O97,2)="CM","See Tier Definitions for CM handling",IF(O97="T1_Clean",IF(P97="OK","Edit invoice to remove tax (immediate)","Edit blocked — requires period unlock by accounting"),IF(O97="T2_FullUnpaid","Hold for accounting decision: remove now or wait for payment",IF(O97="T3_Mismatch","Manual investigation of payment trail in NetSuite required",IF(O97="T0_NoTax","Tax not on invoice — flag back to accounting (collection or other issue)","")))))</f>
        <v/>
      </c>
      <c r="R97" s="8" t="inlineStr">
        <is>
          <t>Current | Also will need S&amp;U adjusted if it is showing on the invoice.</t>
        </is>
      </c>
    </row>
    <row r="98">
      <c r="A98" t="n">
        <v>780781</v>
      </c>
      <c r="B98" t="inlineStr">
        <is>
          <t>INV689115</t>
        </is>
      </c>
      <c r="C98" t="inlineStr">
        <is>
          <t>CustInvc</t>
        </is>
      </c>
      <c r="D98" t="inlineStr">
        <is>
          <t>1727</t>
        </is>
      </c>
      <c r="E98" t="inlineStr">
        <is>
          <t>Heath Hollis (Burkhart)</t>
        </is>
      </c>
      <c r="F98" s="15" t="n">
        <v>46164</v>
      </c>
      <c r="G98" s="15" t="n">
        <v>46194</v>
      </c>
      <c r="H98">
        <f>IFERROR(INDEX('Period Status'!$A$2:$A$16,MATCH(1,(F98&gt;='Period Status'!$C$2:$C$16)*(F98&lt;='Period Status'!$D$2:$D$16),0)),"?")</f>
        <v/>
      </c>
      <c r="I98">
        <f>IFERROR(VLOOKUP(H98,'Period Status'!$A$2:$I$16,9,FALSE),"?")</f>
        <v/>
      </c>
      <c r="J98" s="7" t="n">
        <v>492.86</v>
      </c>
      <c r="K98" s="7" t="n">
        <v>492.86</v>
      </c>
      <c r="L98" s="7">
        <f>ROUND(J98-K98,2)</f>
        <v/>
      </c>
      <c r="M98" s="11" t="n">
        <v>23.04</v>
      </c>
      <c r="N98" s="7">
        <f>ROUND(K98-M98,2)</f>
        <v/>
      </c>
      <c r="O98">
        <f>IF(M98=0,"T0_NoTax",IF(ABS(K98-M98)&lt;0.01,"T1_Clean",IF(L98=0,"T2_FullUnpaid","T3_Mismatch")))</f>
        <v/>
      </c>
      <c r="P98">
        <f>I98</f>
        <v/>
      </c>
      <c r="Q98">
        <f>IF(LEFT(O98,2)="CM","See Tier Definitions for CM handling",IF(O98="T1_Clean",IF(P98="OK","Edit invoice to remove tax (immediate)","Edit blocked — requires period unlock by accounting"),IF(O98="T2_FullUnpaid","Hold for accounting decision: remove now or wait for payment",IF(O98="T3_Mismatch","Manual investigation of payment trail in NetSuite required",IF(O98="T0_NoTax","Tax not on invoice — flag back to accounting (collection or other issue)","")))))</f>
        <v/>
      </c>
      <c r="R98" s="8" t="inlineStr">
        <is>
          <t>Current | Also will need S&amp;U adjusted if it is showing on the invoice.</t>
        </is>
      </c>
    </row>
    <row r="99">
      <c r="A99" t="n">
        <v>799247</v>
      </c>
      <c r="B99" t="inlineStr">
        <is>
          <t>INV689333</t>
        </is>
      </c>
      <c r="C99" t="inlineStr">
        <is>
          <t>CustInvc</t>
        </is>
      </c>
      <c r="D99" t="inlineStr">
        <is>
          <t>1727</t>
        </is>
      </c>
      <c r="E99" t="inlineStr">
        <is>
          <t>Heath Hollis (Burkhart)</t>
        </is>
      </c>
      <c r="F99" s="15" t="n">
        <v>46174</v>
      </c>
      <c r="G99" s="15" t="n">
        <v>46204</v>
      </c>
      <c r="H99">
        <f>IFERROR(INDEX('Period Status'!$A$2:$A$16,MATCH(1,(F99&gt;='Period Status'!$C$2:$C$16)*(F99&lt;='Period Status'!$D$2:$D$16),0)),"?")</f>
        <v/>
      </c>
      <c r="I99">
        <f>IFERROR(VLOOKUP(H99,'Period Status'!$A$2:$I$16,9,FALSE),"?")</f>
        <v/>
      </c>
      <c r="J99" s="7" t="n">
        <v>262.26</v>
      </c>
      <c r="K99" s="7" t="n">
        <v>262.26</v>
      </c>
      <c r="L99" s="7">
        <f>ROUND(J99-K99,2)</f>
        <v/>
      </c>
      <c r="M99" s="11" t="n">
        <v>18.68</v>
      </c>
      <c r="N99" s="7">
        <f>ROUND(K99-M99,2)</f>
        <v/>
      </c>
      <c r="O99">
        <f>IF(M99=0,"T0_NoTax",IF(ABS(K99-M99)&lt;0.01,"T1_Clean",IF(L99=0,"T2_FullUnpaid","T3_Mismatch")))</f>
        <v/>
      </c>
      <c r="P99">
        <f>I99</f>
        <v/>
      </c>
      <c r="Q99">
        <f>IF(LEFT(O99,2)="CM","See Tier Definitions for CM handling",IF(O99="T1_Clean",IF(P99="OK","Edit invoice to remove tax (immediate)","Edit blocked — requires period unlock by accounting"),IF(O99="T2_FullUnpaid","Hold for accounting decision: remove now or wait for payment",IF(O99="T3_Mismatch","Manual investigation of payment trail in NetSuite required",IF(O99="T0_NoTax","Tax not on invoice — flag back to accounting (collection or other issue)","")))))</f>
        <v/>
      </c>
      <c r="R99" s="8" t="inlineStr">
        <is>
          <t>Current | Also will need S&amp;U adjusted if it is showing on the invoice.</t>
        </is>
      </c>
    </row>
    <row r="100">
      <c r="A100" t="n">
        <v>814631</v>
      </c>
      <c r="B100" t="inlineStr">
        <is>
          <t>INV689651</t>
        </is>
      </c>
      <c r="C100" t="inlineStr">
        <is>
          <t>CustInvc</t>
        </is>
      </c>
      <c r="D100" t="inlineStr">
        <is>
          <t>1727</t>
        </is>
      </c>
      <c r="E100" t="inlineStr">
        <is>
          <t>Heath Hollis (Burkhart)</t>
        </is>
      </c>
      <c r="F100" s="15" t="n">
        <v>46177</v>
      </c>
      <c r="G100" s="15" t="n">
        <v>46207</v>
      </c>
      <c r="H100">
        <f>IFERROR(INDEX('Period Status'!$A$2:$A$16,MATCH(1,(F100&gt;='Period Status'!$C$2:$C$16)*(F100&lt;='Period Status'!$D$2:$D$16),0)),"?")</f>
        <v/>
      </c>
      <c r="I100">
        <f>IFERROR(VLOOKUP(H100,'Period Status'!$A$2:$I$16,9,FALSE),"?")</f>
        <v/>
      </c>
      <c r="J100" s="7" t="n">
        <v>57.79</v>
      </c>
      <c r="K100" s="7" t="n">
        <v>57.79</v>
      </c>
      <c r="L100" s="7">
        <f>ROUND(J100-K100,2)</f>
        <v/>
      </c>
      <c r="M100" s="11" t="n">
        <v>5.44</v>
      </c>
      <c r="N100" s="7">
        <f>ROUND(K100-M100,2)</f>
        <v/>
      </c>
      <c r="O100">
        <f>IF(M100=0,"T0_NoTax",IF(ABS(K100-M100)&lt;0.01,"T1_Clean",IF(L100=0,"T2_FullUnpaid","T3_Mismatch")))</f>
        <v/>
      </c>
      <c r="P100">
        <f>I100</f>
        <v/>
      </c>
      <c r="Q100">
        <f>IF(LEFT(O100,2)="CM","See Tier Definitions for CM handling",IF(O100="T1_Clean",IF(P100="OK","Edit invoice to remove tax (immediate)","Edit blocked — requires period unlock by accounting"),IF(O100="T2_FullUnpaid","Hold for accounting decision: remove now or wait for payment",IF(O100="T3_Mismatch","Manual investigation of payment trail in NetSuite required",IF(O100="T0_NoTax","Tax not on invoice — flag back to accounting (collection or other issue)","")))))</f>
        <v/>
      </c>
      <c r="R100" s="8" t="inlineStr">
        <is>
          <t>Current | Also will need S&amp;U adjusted if it is showing on the invoice.</t>
        </is>
      </c>
    </row>
    <row r="101">
      <c r="A101" t="n">
        <v>817042</v>
      </c>
      <c r="B101" t="inlineStr">
        <is>
          <t>INV689722</t>
        </is>
      </c>
      <c r="C101" t="inlineStr">
        <is>
          <t>CustInvc</t>
        </is>
      </c>
      <c r="D101" t="inlineStr">
        <is>
          <t>1727</t>
        </is>
      </c>
      <c r="E101" t="inlineStr">
        <is>
          <t>Heath Hollis (Burkhart)</t>
        </is>
      </c>
      <c r="F101" s="15" t="n">
        <v>46178</v>
      </c>
      <c r="G101" s="15" t="n">
        <v>46208</v>
      </c>
      <c r="H101">
        <f>IFERROR(INDEX('Period Status'!$A$2:$A$16,MATCH(1,(F101&gt;='Period Status'!$C$2:$C$16)*(F101&lt;='Period Status'!$D$2:$D$16),0)),"?")</f>
        <v/>
      </c>
      <c r="I101">
        <f>IFERROR(VLOOKUP(H101,'Period Status'!$A$2:$I$16,9,FALSE),"?")</f>
        <v/>
      </c>
      <c r="J101" s="7" t="n">
        <v>90.08</v>
      </c>
      <c r="K101" s="7" t="n">
        <v>90.08</v>
      </c>
      <c r="L101" s="7">
        <f>ROUND(J101-K101,2)</f>
        <v/>
      </c>
      <c r="M101" s="11" t="n">
        <v>0</v>
      </c>
      <c r="N101" s="7">
        <f>ROUND(K101-M101,2)</f>
        <v/>
      </c>
      <c r="O101">
        <f>IF(M101=0,"T0_NoTax",IF(ABS(K101-M101)&lt;0.01,"T1_Clean",IF(L101=0,"T2_FullUnpaid","T3_Mismatch")))</f>
        <v/>
      </c>
      <c r="P101">
        <f>I101</f>
        <v/>
      </c>
      <c r="Q101">
        <f>IF(LEFT(O101,2)="CM","See Tier Definitions for CM handling",IF(O101="T1_Clean",IF(P101="OK","Edit invoice to remove tax (immediate)","Edit blocked — requires period unlock by accounting"),IF(O101="T2_FullUnpaid","Hold for accounting decision: remove now or wait for payment",IF(O101="T3_Mismatch","Manual investigation of payment trail in NetSuite required",IF(O101="T0_NoTax","Tax not on invoice — flag back to accounting (collection or other issue)","")))))</f>
        <v/>
      </c>
      <c r="R101" s="8" t="inlineStr">
        <is>
          <t>Current | Also will need S&amp;U adjusted if it is showing on the invoice.</t>
        </is>
      </c>
    </row>
    <row r="102">
      <c r="A102" t="n">
        <v>827581</v>
      </c>
      <c r="B102" t="inlineStr">
        <is>
          <t>INV690076</t>
        </is>
      </c>
      <c r="C102" t="inlineStr">
        <is>
          <t>CustInvc</t>
        </is>
      </c>
      <c r="D102" t="inlineStr">
        <is>
          <t>1727</t>
        </is>
      </c>
      <c r="E102" t="inlineStr">
        <is>
          <t>Heath Hollis (Burkhart)</t>
        </is>
      </c>
      <c r="F102" s="15" t="n">
        <v>46183</v>
      </c>
      <c r="G102" s="15" t="n">
        <v>46213</v>
      </c>
      <c r="H102">
        <f>IFERROR(INDEX('Period Status'!$A$2:$A$16,MATCH(1,(F102&gt;='Period Status'!$C$2:$C$16)*(F102&lt;='Period Status'!$D$2:$D$16),0)),"?")</f>
        <v/>
      </c>
      <c r="I102">
        <f>IFERROR(VLOOKUP(H102,'Period Status'!$A$2:$I$16,9,FALSE),"?")</f>
        <v/>
      </c>
      <c r="J102" s="7" t="n">
        <v>216.18</v>
      </c>
      <c r="K102" s="7" t="n">
        <v>216.18</v>
      </c>
      <c r="L102" s="7">
        <f>ROUND(J102-K102,2)</f>
        <v/>
      </c>
      <c r="M102" s="11" t="n">
        <v>14.18</v>
      </c>
      <c r="N102" s="7">
        <f>ROUND(K102-M102,2)</f>
        <v/>
      </c>
      <c r="O102">
        <f>IF(M102=0,"T0_NoTax",IF(ABS(K102-M102)&lt;0.01,"T1_Clean",IF(L102=0,"T2_FullUnpaid","T3_Mismatch")))</f>
        <v/>
      </c>
      <c r="P102">
        <f>I102</f>
        <v/>
      </c>
      <c r="Q102">
        <f>IF(LEFT(O102,2)="CM","See Tier Definitions for CM handling",IF(O102="T1_Clean",IF(P102="OK","Edit invoice to remove tax (immediate)","Edit blocked — requires period unlock by accounting"),IF(O102="T2_FullUnpaid","Hold for accounting decision: remove now or wait for payment",IF(O102="T3_Mismatch","Manual investigation of payment trail in NetSuite required",IF(O102="T0_NoTax","Tax not on invoice — flag back to accounting (collection or other issue)","")))))</f>
        <v/>
      </c>
      <c r="R102" s="8" t="inlineStr">
        <is>
          <t>Current | Also will need S&amp;U adjusted if it is showing on the invoice.</t>
        </is>
      </c>
    </row>
    <row r="103">
      <c r="A103" t="n">
        <v>827586</v>
      </c>
      <c r="B103" t="inlineStr">
        <is>
          <t>INV690081</t>
        </is>
      </c>
      <c r="C103" t="inlineStr">
        <is>
          <t>CustInvc</t>
        </is>
      </c>
      <c r="D103" t="inlineStr">
        <is>
          <t>1727</t>
        </is>
      </c>
      <c r="E103" t="inlineStr">
        <is>
          <t>Heath Hollis (Burkhart)</t>
        </is>
      </c>
      <c r="F103" s="15" t="n">
        <v>46183</v>
      </c>
      <c r="G103" s="15" t="n">
        <v>46213</v>
      </c>
      <c r="H103">
        <f>IFERROR(INDEX('Period Status'!$A$2:$A$16,MATCH(1,(F103&gt;='Period Status'!$C$2:$C$16)*(F103&lt;='Period Status'!$D$2:$D$16),0)),"?")</f>
        <v/>
      </c>
      <c r="I103">
        <f>IFERROR(VLOOKUP(H103,'Period Status'!$A$2:$I$16,9,FALSE),"?")</f>
        <v/>
      </c>
      <c r="J103" s="7" t="n">
        <v>338.95</v>
      </c>
      <c r="K103" s="7" t="n">
        <v>338.95</v>
      </c>
      <c r="L103" s="7">
        <f>ROUND(J103-K103,2)</f>
        <v/>
      </c>
      <c r="M103" s="11" t="n">
        <v>13.28</v>
      </c>
      <c r="N103" s="7">
        <f>ROUND(K103-M103,2)</f>
        <v/>
      </c>
      <c r="O103">
        <f>IF(M103=0,"T0_NoTax",IF(ABS(K103-M103)&lt;0.01,"T1_Clean",IF(L103=0,"T2_FullUnpaid","T3_Mismatch")))</f>
        <v/>
      </c>
      <c r="P103">
        <f>I103</f>
        <v/>
      </c>
      <c r="Q103">
        <f>IF(LEFT(O103,2)="CM","See Tier Definitions for CM handling",IF(O103="T1_Clean",IF(P103="OK","Edit invoice to remove tax (immediate)","Edit blocked — requires period unlock by accounting"),IF(O103="T2_FullUnpaid","Hold for accounting decision: remove now or wait for payment",IF(O103="T3_Mismatch","Manual investigation of payment trail in NetSuite required",IF(O103="T0_NoTax","Tax not on invoice — flag back to accounting (collection or other issue)","")))))</f>
        <v/>
      </c>
      <c r="R103" s="8" t="inlineStr">
        <is>
          <t>Current | Also will need S&amp;U adjusted if it is showing on the invoice.</t>
        </is>
      </c>
    </row>
    <row r="104">
      <c r="A104" t="n">
        <v>828883</v>
      </c>
      <c r="B104" t="inlineStr">
        <is>
          <t>INV690118</t>
        </is>
      </c>
      <c r="C104" t="inlineStr">
        <is>
          <t>CustInvc</t>
        </is>
      </c>
      <c r="D104" t="inlineStr">
        <is>
          <t>1727</t>
        </is>
      </c>
      <c r="E104" t="inlineStr">
        <is>
          <t>Heath Hollis (Burkhart)</t>
        </is>
      </c>
      <c r="F104" s="15" t="n">
        <v>46184</v>
      </c>
      <c r="G104" s="15" t="n">
        <v>46214</v>
      </c>
      <c r="H104">
        <f>IFERROR(INDEX('Period Status'!$A$2:$A$16,MATCH(1,(F104&gt;='Period Status'!$C$2:$C$16)*(F104&lt;='Period Status'!$D$2:$D$16),0)),"?")</f>
        <v/>
      </c>
      <c r="I104">
        <f>IFERROR(VLOOKUP(H104,'Period Status'!$A$2:$I$16,9,FALSE),"?")</f>
        <v/>
      </c>
      <c r="J104" s="7" t="n">
        <v>94.41</v>
      </c>
      <c r="K104" s="7" t="n">
        <v>94.41</v>
      </c>
      <c r="L104" s="7">
        <f>ROUND(J104-K104,2)</f>
        <v/>
      </c>
      <c r="M104" s="11" t="n">
        <v>0</v>
      </c>
      <c r="N104" s="7">
        <f>ROUND(K104-M104,2)</f>
        <v/>
      </c>
      <c r="O104">
        <f>IF(M104=0,"T0_NoTax",IF(ABS(K104-M104)&lt;0.01,"T1_Clean",IF(L104=0,"T2_FullUnpaid","T3_Mismatch")))</f>
        <v/>
      </c>
      <c r="P104">
        <f>I104</f>
        <v/>
      </c>
      <c r="Q104">
        <f>IF(LEFT(O104,2)="CM","See Tier Definitions for CM handling",IF(O104="T1_Clean",IF(P104="OK","Edit invoice to remove tax (immediate)","Edit blocked — requires period unlock by accounting"),IF(O104="T2_FullUnpaid","Hold for accounting decision: remove now or wait for payment",IF(O104="T3_Mismatch","Manual investigation of payment trail in NetSuite required",IF(O104="T0_NoTax","Tax not on invoice — flag back to accounting (collection or other issue)","")))))</f>
        <v/>
      </c>
      <c r="R104" s="8" t="inlineStr">
        <is>
          <t>Current | Also will need S&amp;U adjusted if it is showing on the invoice.</t>
        </is>
      </c>
    </row>
    <row r="105">
      <c r="A105" t="n">
        <v>828905</v>
      </c>
      <c r="B105" t="inlineStr">
        <is>
          <t>INV690139</t>
        </is>
      </c>
      <c r="C105" t="inlineStr">
        <is>
          <t>CustInvc</t>
        </is>
      </c>
      <c r="D105" t="inlineStr">
        <is>
          <t>1727</t>
        </is>
      </c>
      <c r="E105" t="inlineStr">
        <is>
          <t>Heath Hollis (Burkhart)</t>
        </is>
      </c>
      <c r="F105" s="15" t="n">
        <v>46184</v>
      </c>
      <c r="G105" s="15" t="n">
        <v>46214</v>
      </c>
      <c r="H105">
        <f>IFERROR(INDEX('Period Status'!$A$2:$A$16,MATCH(1,(F105&gt;='Period Status'!$C$2:$C$16)*(F105&lt;='Period Status'!$D$2:$D$16),0)),"?")</f>
        <v/>
      </c>
      <c r="I105">
        <f>IFERROR(VLOOKUP(H105,'Period Status'!$A$2:$I$16,9,FALSE),"?")</f>
        <v/>
      </c>
      <c r="J105" s="7" t="n">
        <v>90.08</v>
      </c>
      <c r="K105" s="7" t="n">
        <v>90.08</v>
      </c>
      <c r="L105" s="7">
        <f>ROUND(J105-K105,2)</f>
        <v/>
      </c>
      <c r="M105" s="11" t="n">
        <v>0</v>
      </c>
      <c r="N105" s="7">
        <f>ROUND(K105-M105,2)</f>
        <v/>
      </c>
      <c r="O105">
        <f>IF(M105=0,"T0_NoTax",IF(ABS(K105-M105)&lt;0.01,"T1_Clean",IF(L105=0,"T2_FullUnpaid","T3_Mismatch")))</f>
        <v/>
      </c>
      <c r="P105">
        <f>I105</f>
        <v/>
      </c>
      <c r="Q105">
        <f>IF(LEFT(O105,2)="CM","See Tier Definitions for CM handling",IF(O105="T1_Clean",IF(P105="OK","Edit invoice to remove tax (immediate)","Edit blocked — requires period unlock by accounting"),IF(O105="T2_FullUnpaid","Hold for accounting decision: remove now or wait for payment",IF(O105="T3_Mismatch","Manual investigation of payment trail in NetSuite required",IF(O105="T0_NoTax","Tax not on invoice — flag back to accounting (collection or other issue)","")))))</f>
        <v/>
      </c>
      <c r="R105" s="8" t="inlineStr">
        <is>
          <t>Current | Also will need S&amp;U adjusted if it is showing on the invoice.</t>
        </is>
      </c>
    </row>
    <row r="106">
      <c r="A106" t="n">
        <v>830836</v>
      </c>
      <c r="B106" t="inlineStr">
        <is>
          <t>INV690197</t>
        </is>
      </c>
      <c r="C106" t="inlineStr">
        <is>
          <t>CustInvc</t>
        </is>
      </c>
      <c r="D106" t="inlineStr">
        <is>
          <t>1727</t>
        </is>
      </c>
      <c r="E106" t="inlineStr">
        <is>
          <t>Heath Hollis (Burkhart)</t>
        </is>
      </c>
      <c r="F106" s="15" t="n">
        <v>46185</v>
      </c>
      <c r="G106" s="15" t="n">
        <v>46215</v>
      </c>
      <c r="H106">
        <f>IFERROR(INDEX('Period Status'!$A$2:$A$16,MATCH(1,(F106&gt;='Period Status'!$C$2:$C$16)*(F106&lt;='Period Status'!$D$2:$D$16),0)),"?")</f>
        <v/>
      </c>
      <c r="I106">
        <f>IFERROR(VLOOKUP(H106,'Period Status'!$A$2:$I$16,9,FALSE),"?")</f>
        <v/>
      </c>
      <c r="J106" s="7" t="n">
        <v>92.52</v>
      </c>
      <c r="K106" s="7" t="n">
        <v>92.52</v>
      </c>
      <c r="L106" s="7">
        <f>ROUND(J106-K106,2)</f>
        <v/>
      </c>
      <c r="M106" s="11" t="n">
        <v>2.62</v>
      </c>
      <c r="N106" s="7">
        <f>ROUND(K106-M106,2)</f>
        <v/>
      </c>
      <c r="O106">
        <f>IF(M106=0,"T0_NoTax",IF(ABS(K106-M106)&lt;0.01,"T1_Clean",IF(L106=0,"T2_FullUnpaid","T3_Mismatch")))</f>
        <v/>
      </c>
      <c r="P106">
        <f>I106</f>
        <v/>
      </c>
      <c r="Q106">
        <f>IF(LEFT(O106,2)="CM","See Tier Definitions for CM handling",IF(O106="T1_Clean",IF(P106="OK","Edit invoice to remove tax (immediate)","Edit blocked — requires period unlock by accounting"),IF(O106="T2_FullUnpaid","Hold for accounting decision: remove now or wait for payment",IF(O106="T3_Mismatch","Manual investigation of payment trail in NetSuite required",IF(O106="T0_NoTax","Tax not on invoice — flag back to accounting (collection or other issue)","")))))</f>
        <v/>
      </c>
      <c r="R106" s="8" t="inlineStr">
        <is>
          <t>Current | Also will need S&amp;U adjusted if it is showing on the invoice.</t>
        </is>
      </c>
    </row>
    <row r="107">
      <c r="A107" t="n">
        <v>830842</v>
      </c>
      <c r="B107" t="inlineStr">
        <is>
          <t>INV690202</t>
        </is>
      </c>
      <c r="C107" t="inlineStr">
        <is>
          <t>CustInvc</t>
        </is>
      </c>
      <c r="D107" t="inlineStr">
        <is>
          <t>1727</t>
        </is>
      </c>
      <c r="E107" t="inlineStr">
        <is>
          <t>Heath Hollis (Burkhart)</t>
        </is>
      </c>
      <c r="F107" s="15" t="n">
        <v>46185</v>
      </c>
      <c r="G107" s="15" t="n">
        <v>46215</v>
      </c>
      <c r="H107">
        <f>IFERROR(INDEX('Period Status'!$A$2:$A$16,MATCH(1,(F107&gt;='Period Status'!$C$2:$C$16)*(F107&lt;='Period Status'!$D$2:$D$16),0)),"?")</f>
        <v/>
      </c>
      <c r="I107">
        <f>IFERROR(VLOOKUP(H107,'Period Status'!$A$2:$I$16,9,FALSE),"?")</f>
        <v/>
      </c>
      <c r="J107" s="7" t="n">
        <v>281.09</v>
      </c>
      <c r="K107" s="7" t="n">
        <v>281.09</v>
      </c>
      <c r="L107" s="7">
        <f>ROUND(J107-K107,2)</f>
        <v/>
      </c>
      <c r="M107" s="11" t="n">
        <v>22.53</v>
      </c>
      <c r="N107" s="7">
        <f>ROUND(K107-M107,2)</f>
        <v/>
      </c>
      <c r="O107">
        <f>IF(M107=0,"T0_NoTax",IF(ABS(K107-M107)&lt;0.01,"T1_Clean",IF(L107=0,"T2_FullUnpaid","T3_Mismatch")))</f>
        <v/>
      </c>
      <c r="P107">
        <f>I107</f>
        <v/>
      </c>
      <c r="Q107">
        <f>IF(LEFT(O107,2)="CM","See Tier Definitions for CM handling",IF(O107="T1_Clean",IF(P107="OK","Edit invoice to remove tax (immediate)","Edit blocked — requires period unlock by accounting"),IF(O107="T2_FullUnpaid","Hold for accounting decision: remove now or wait for payment",IF(O107="T3_Mismatch","Manual investigation of payment trail in NetSuite required",IF(O107="T0_NoTax","Tax not on invoice — flag back to accounting (collection or other issue)","")))))</f>
        <v/>
      </c>
      <c r="R107" s="8" t="inlineStr">
        <is>
          <t>Current | Also will need S&amp;U adjusted if it is showing on the invoice.</t>
        </is>
      </c>
    </row>
    <row r="108">
      <c r="A108" t="n">
        <v>835108</v>
      </c>
      <c r="B108" t="inlineStr">
        <is>
          <t>CM67942</t>
        </is>
      </c>
      <c r="C108" t="inlineStr">
        <is>
          <t>CustCred</t>
        </is>
      </c>
      <c r="D108" t="inlineStr">
        <is>
          <t>1727</t>
        </is>
      </c>
      <c r="E108" t="inlineStr">
        <is>
          <t>Heath Hollis (Burkhart)</t>
        </is>
      </c>
      <c r="F108" s="15" t="n">
        <v>46188</v>
      </c>
      <c r="H108">
        <f>IFERROR(INDEX('Period Status'!$A$2:$A$16,MATCH(1,(F108&gt;='Period Status'!$C$2:$C$16)*(F108&lt;='Period Status'!$D$2:$D$16),0)),"?")</f>
        <v/>
      </c>
      <c r="I108">
        <f>IFERROR(VLOOKUP(H108,'Period Status'!$A$2:$I$16,9,FALSE),"?")</f>
        <v/>
      </c>
      <c r="J108" s="7" t="n">
        <v>-44.32</v>
      </c>
      <c r="K108" s="7" t="n">
        <v>-44.32</v>
      </c>
      <c r="L108" s="7" t="inlineStr">
        <is>
          <t>N/A (CM)</t>
        </is>
      </c>
      <c r="M108" s="11" t="n">
        <v>0</v>
      </c>
      <c r="N108" s="7" t="inlineStr">
        <is>
          <t>N/A (CM)</t>
        </is>
      </c>
      <c r="O108">
        <f>IF(ISNUMBER(SEARCH("Recently issued",R108)),"CM_Recent","CM_Pending")</f>
        <v/>
      </c>
      <c r="P108">
        <f>I108</f>
        <v/>
      </c>
      <c r="Q108">
        <f>IF(LEFT(O108,2)="CM","See Tier Definitions for CM handling",IF(O108="T1_Clean",IF(P108="OK","Edit invoice to remove tax (immediate)","Edit blocked — requires period unlock by accounting"),IF(O108="T2_FullUnpaid","Hold for accounting decision: remove now or wait for payment",IF(O108="T3_Mismatch","Manual investigation of payment trail in NetSuite required",IF(O108="T0_NoTax","Tax not on invoice — flag back to accounting (collection or other issue)","")))))</f>
        <v/>
      </c>
      <c r="R108" s="8" t="inlineStr">
        <is>
          <t>Recently issued, copies are included in email</t>
        </is>
      </c>
    </row>
    <row r="109">
      <c r="A109" t="n">
        <v>835121</v>
      </c>
      <c r="B109" t="inlineStr">
        <is>
          <t>CM67955</t>
        </is>
      </c>
      <c r="C109" t="inlineStr">
        <is>
          <t>CustCred</t>
        </is>
      </c>
      <c r="D109" t="inlineStr">
        <is>
          <t>1727</t>
        </is>
      </c>
      <c r="E109" t="inlineStr">
        <is>
          <t>Heath Hollis (Burkhart)</t>
        </is>
      </c>
      <c r="F109" s="15" t="n">
        <v>46188</v>
      </c>
      <c r="H109">
        <f>IFERROR(INDEX('Period Status'!$A$2:$A$16,MATCH(1,(F109&gt;='Period Status'!$C$2:$C$16)*(F109&lt;='Period Status'!$D$2:$D$16),0)),"?")</f>
        <v/>
      </c>
      <c r="I109">
        <f>IFERROR(VLOOKUP(H109,'Period Status'!$A$2:$I$16,9,FALSE),"?")</f>
        <v/>
      </c>
      <c r="J109" s="7" t="n">
        <v>-58.28</v>
      </c>
      <c r="K109" s="7" t="n">
        <v>-58.28</v>
      </c>
      <c r="L109" s="7" t="inlineStr">
        <is>
          <t>N/A (CM)</t>
        </is>
      </c>
      <c r="M109" s="11" t="n">
        <v>0</v>
      </c>
      <c r="N109" s="7" t="inlineStr">
        <is>
          <t>N/A (CM)</t>
        </is>
      </c>
      <c r="O109">
        <f>IF(ISNUMBER(SEARCH("Recently issued",R109)),"CM_Recent","CM_Pending")</f>
        <v/>
      </c>
      <c r="P109">
        <f>I109</f>
        <v/>
      </c>
      <c r="Q109">
        <f>IF(LEFT(O109,2)="CM","See Tier Definitions for CM handling",IF(O109="T1_Clean",IF(P109="OK","Edit invoice to remove tax (immediate)","Edit blocked — requires period unlock by accounting"),IF(O109="T2_FullUnpaid","Hold for accounting decision: remove now or wait for payment",IF(O109="T3_Mismatch","Manual investigation of payment trail in NetSuite required",IF(O109="T0_NoTax","Tax not on invoice — flag back to accounting (collection or other issue)","")))))</f>
        <v/>
      </c>
      <c r="R109" s="8" t="inlineStr">
        <is>
          <t>Recently issued, copies are included in email</t>
        </is>
      </c>
    </row>
    <row r="110">
      <c r="A110" t="n">
        <v>837682</v>
      </c>
      <c r="B110" t="inlineStr">
        <is>
          <t>INV690376</t>
        </is>
      </c>
      <c r="C110" t="inlineStr">
        <is>
          <t>CustInvc</t>
        </is>
      </c>
      <c r="D110" t="inlineStr">
        <is>
          <t>1727</t>
        </is>
      </c>
      <c r="E110" t="inlineStr">
        <is>
          <t>Heath Hollis (Burkhart)</t>
        </is>
      </c>
      <c r="F110" s="15" t="n">
        <v>46189</v>
      </c>
      <c r="G110" s="15" t="n">
        <v>46219</v>
      </c>
      <c r="H110">
        <f>IFERROR(INDEX('Period Status'!$A$2:$A$16,MATCH(1,(F110&gt;='Period Status'!$C$2:$C$16)*(F110&lt;='Period Status'!$D$2:$D$16),0)),"?")</f>
        <v/>
      </c>
      <c r="I110">
        <f>IFERROR(VLOOKUP(H110,'Period Status'!$A$2:$I$16,9,FALSE),"?")</f>
        <v/>
      </c>
      <c r="J110" s="7" t="n">
        <v>75.02</v>
      </c>
      <c r="K110" s="7" t="n">
        <v>75.02</v>
      </c>
      <c r="L110" s="7">
        <f>ROUND(J110-K110,2)</f>
        <v/>
      </c>
      <c r="M110" s="11" t="n">
        <v>0</v>
      </c>
      <c r="N110" s="7">
        <f>ROUND(K110-M110,2)</f>
        <v/>
      </c>
      <c r="O110">
        <f>IF(M110=0,"T0_NoTax",IF(ABS(K110-M110)&lt;0.01,"T1_Clean",IF(L110=0,"T2_FullUnpaid","T3_Mismatch")))</f>
        <v/>
      </c>
      <c r="P110">
        <f>I110</f>
        <v/>
      </c>
      <c r="Q110">
        <f>IF(LEFT(O110,2)="CM","See Tier Definitions for CM handling",IF(O110="T1_Clean",IF(P110="OK","Edit invoice to remove tax (immediate)","Edit blocked — requires period unlock by accounting"),IF(O110="T2_FullUnpaid","Hold for accounting decision: remove now or wait for payment",IF(O110="T3_Mismatch","Manual investigation of payment trail in NetSuite required",IF(O110="T0_NoTax","Tax not on invoice — flag back to accounting (collection or other issue)","")))))</f>
        <v/>
      </c>
      <c r="R110" s="8" t="inlineStr">
        <is>
          <t>Current | Also will need S&amp;U adjusted if it is showing on the invoice.</t>
        </is>
      </c>
    </row>
    <row r="111">
      <c r="A111" t="n">
        <v>844606</v>
      </c>
      <c r="B111" t="inlineStr">
        <is>
          <t>INV690614</t>
        </is>
      </c>
      <c r="C111" t="inlineStr">
        <is>
          <t>CustInvc</t>
        </is>
      </c>
      <c r="D111" t="inlineStr">
        <is>
          <t>1727</t>
        </is>
      </c>
      <c r="E111" t="inlineStr">
        <is>
          <t>Heath Hollis (Burkhart)</t>
        </is>
      </c>
      <c r="F111" s="15" t="n">
        <v>46191</v>
      </c>
      <c r="G111" s="15" t="n">
        <v>46221</v>
      </c>
      <c r="H111">
        <f>IFERROR(INDEX('Period Status'!$A$2:$A$16,MATCH(1,(F111&gt;='Period Status'!$C$2:$C$16)*(F111&lt;='Period Status'!$D$2:$D$16),0)),"?")</f>
        <v/>
      </c>
      <c r="I111">
        <f>IFERROR(VLOOKUP(H111,'Period Status'!$A$2:$I$16,9,FALSE),"?")</f>
        <v/>
      </c>
      <c r="J111" s="7" t="n">
        <v>759.27</v>
      </c>
      <c r="K111" s="7" t="n">
        <v>759.27</v>
      </c>
      <c r="L111" s="7">
        <f>ROUND(J111-K111,2)</f>
        <v/>
      </c>
      <c r="M111" s="11" t="n">
        <v>66.04000000000001</v>
      </c>
      <c r="N111" s="7">
        <f>ROUND(K111-M111,2)</f>
        <v/>
      </c>
      <c r="O111">
        <f>IF(M111=0,"T0_NoTax",IF(ABS(K111-M111)&lt;0.01,"T1_Clean",IF(L111=0,"T2_FullUnpaid","T3_Mismatch")))</f>
        <v/>
      </c>
      <c r="P111">
        <f>I111</f>
        <v/>
      </c>
      <c r="Q111">
        <f>IF(LEFT(O111,2)="CM","See Tier Definitions for CM handling",IF(O111="T1_Clean",IF(P111="OK","Edit invoice to remove tax (immediate)","Edit blocked — requires period unlock by accounting"),IF(O111="T2_FullUnpaid","Hold for accounting decision: remove now or wait for payment",IF(O111="T3_Mismatch","Manual investigation of payment trail in NetSuite required",IF(O111="T0_NoTax","Tax not on invoice — flag back to accounting (collection or other issue)","")))))</f>
        <v/>
      </c>
      <c r="R111" s="8" t="inlineStr">
        <is>
          <t>Current | Also will need S&amp;U adjusted if it is showing on the invoice.</t>
        </is>
      </c>
    </row>
  </sheetData>
  <autoFilter ref="A1:R111"/>
  <conditionalFormatting sqref="O2:O111">
    <cfRule type="cellIs" priority="1" operator="equal" dxfId="0">
      <formula>"T1_Clean"</formula>
    </cfRule>
    <cfRule type="cellIs" priority="2" operator="equal" dxfId="1">
      <formula>"T2_FullUnpaid"</formula>
    </cfRule>
    <cfRule type="cellIs" priority="3" operator="equal" dxfId="2">
      <formula>"T3_Mismatch"</formula>
    </cfRule>
    <cfRule type="cellIs" priority="4" operator="equal" dxfId="3">
      <formula>"T0_NoTax"</formula>
    </cfRule>
    <cfRule type="cellIs" priority="5" operator="equal" dxfId="4">
      <formula>"CM_Pending"</formula>
    </cfRule>
    <cfRule type="cellIs" priority="6" operator="equal" dxfId="4">
      <formula>"CM_Recent"</formula>
    </cfRule>
  </conditionalFormatting>
  <conditionalFormatting sqref="P2:P111">
    <cfRule type="cellIs" priority="7" operator="equal" dxfId="0">
      <formula>"OK"</formula>
    </cfRule>
    <cfRule type="cellIs" priority="8" operator="equal" dxfId="1">
      <formula>"AR LOCKED"</formula>
    </cfRule>
    <cfRule type="cellIs" priority="9" operator="equal" dxfId="5">
      <formula>"CLOSED+LOCKED"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Period Name</t>
        </is>
      </c>
      <c r="B1" s="14" t="inlineStr">
        <is>
          <t>NS Internal ID</t>
        </is>
      </c>
      <c r="C1" s="14" t="inlineStr">
        <is>
          <t>Start Date</t>
        </is>
      </c>
      <c r="D1" s="14" t="inlineStr">
        <is>
          <t>End Date</t>
        </is>
      </c>
      <c r="E1" s="14" t="inlineStr">
        <is>
          <t>Closed (T/F)</t>
        </is>
      </c>
      <c r="F1" s="14" t="inlineStr">
        <is>
          <t>All Locked (T/F)</t>
        </is>
      </c>
      <c r="G1" s="14" t="inlineStr">
        <is>
          <t>AR Locked (T/F)</t>
        </is>
      </c>
      <c r="H1" s="14" t="inlineStr">
        <is>
          <t>Allow Non-GL (T/F)</t>
        </is>
      </c>
      <c r="I1" s="14" t="inlineStr">
        <is>
          <t>Feasibility</t>
        </is>
      </c>
    </row>
    <row r="2">
      <c r="A2" t="inlineStr">
        <is>
          <t>Jun 2025</t>
        </is>
      </c>
      <c r="B2" t="n">
        <v>26</v>
      </c>
      <c r="C2" s="15" t="n">
        <v>45809</v>
      </c>
      <c r="D2" s="15" t="n">
        <v>45838</v>
      </c>
      <c r="E2" t="inlineStr">
        <is>
          <t>T</t>
        </is>
      </c>
      <c r="F2" t="inlineStr">
        <is>
          <t>T</t>
        </is>
      </c>
      <c r="G2" t="inlineStr">
        <is>
          <t>T</t>
        </is>
      </c>
      <c r="H2" t="inlineStr">
        <is>
          <t>F</t>
        </is>
      </c>
      <c r="I2">
        <f>IF(AND(E2="F",G2="F"),"OK",IF(AND(E2="F",G2="T"),"AR LOCKED","CLOSED+LOCKED"))</f>
        <v/>
      </c>
    </row>
    <row r="3">
      <c r="A3" t="inlineStr">
        <is>
          <t>Jul 2025</t>
        </is>
      </c>
      <c r="B3" t="n">
        <v>28</v>
      </c>
      <c r="C3" s="15" t="n">
        <v>45839</v>
      </c>
      <c r="D3" s="15" t="n">
        <v>45869</v>
      </c>
      <c r="E3" t="inlineStr">
        <is>
          <t>T</t>
        </is>
      </c>
      <c r="F3" t="inlineStr">
        <is>
          <t>T</t>
        </is>
      </c>
      <c r="G3" t="inlineStr">
        <is>
          <t>T</t>
        </is>
      </c>
      <c r="H3" t="inlineStr">
        <is>
          <t>F</t>
        </is>
      </c>
      <c r="I3">
        <f>IF(AND(E3="F",G3="F"),"OK",IF(AND(E3="F",G3="T"),"AR LOCKED","CLOSED+LOCKED"))</f>
        <v/>
      </c>
    </row>
    <row r="4">
      <c r="A4" t="inlineStr">
        <is>
          <t>Aug 2025</t>
        </is>
      </c>
      <c r="B4" t="n">
        <v>29</v>
      </c>
      <c r="C4" s="15" t="n">
        <v>45870</v>
      </c>
      <c r="D4" s="15" t="n">
        <v>45900</v>
      </c>
      <c r="E4" t="inlineStr">
        <is>
          <t>T</t>
        </is>
      </c>
      <c r="F4" t="inlineStr">
        <is>
          <t>T</t>
        </is>
      </c>
      <c r="G4" t="inlineStr">
        <is>
          <t>T</t>
        </is>
      </c>
      <c r="H4" t="inlineStr">
        <is>
          <t>F</t>
        </is>
      </c>
      <c r="I4">
        <f>IF(AND(E4="F",G4="F"),"OK",IF(AND(E4="F",G4="T"),"AR LOCKED","CLOSED+LOCKED"))</f>
        <v/>
      </c>
    </row>
    <row r="5">
      <c r="A5" t="inlineStr">
        <is>
          <t>Sep 2025</t>
        </is>
      </c>
      <c r="B5" t="n">
        <v>30</v>
      </c>
      <c r="C5" s="15" t="n">
        <v>45901</v>
      </c>
      <c r="D5" s="15" t="n">
        <v>45930</v>
      </c>
      <c r="E5" t="inlineStr">
        <is>
          <t>T</t>
        </is>
      </c>
      <c r="F5" t="inlineStr">
        <is>
          <t>T</t>
        </is>
      </c>
      <c r="G5" t="inlineStr">
        <is>
          <t>T</t>
        </is>
      </c>
      <c r="H5" t="inlineStr">
        <is>
          <t>F</t>
        </is>
      </c>
      <c r="I5">
        <f>IF(AND(E5="F",G5="F"),"OK",IF(AND(E5="F",G5="T"),"AR LOCKED","CLOSED+LOCKED"))</f>
        <v/>
      </c>
    </row>
    <row r="6">
      <c r="A6" t="inlineStr">
        <is>
          <t>Oct 2025</t>
        </is>
      </c>
      <c r="B6" t="n">
        <v>32</v>
      </c>
      <c r="C6" s="15" t="n">
        <v>45931</v>
      </c>
      <c r="D6" s="15" t="n">
        <v>45961</v>
      </c>
      <c r="E6" t="inlineStr">
        <is>
          <t>T</t>
        </is>
      </c>
      <c r="F6" t="inlineStr">
        <is>
          <t>T</t>
        </is>
      </c>
      <c r="G6" t="inlineStr">
        <is>
          <t>T</t>
        </is>
      </c>
      <c r="H6" t="inlineStr">
        <is>
          <t>F</t>
        </is>
      </c>
      <c r="I6">
        <f>IF(AND(E6="F",G6="F"),"OK",IF(AND(E6="F",G6="T"),"AR LOCKED","CLOSED+LOCKED"))</f>
        <v/>
      </c>
    </row>
    <row r="7">
      <c r="A7" t="inlineStr">
        <is>
          <t>Nov 2025</t>
        </is>
      </c>
      <c r="B7" t="n">
        <v>33</v>
      </c>
      <c r="C7" s="15" t="n">
        <v>45962</v>
      </c>
      <c r="D7" s="15" t="n">
        <v>45991</v>
      </c>
      <c r="E7" t="inlineStr">
        <is>
          <t>T</t>
        </is>
      </c>
      <c r="F7" t="inlineStr">
        <is>
          <t>T</t>
        </is>
      </c>
      <c r="G7" t="inlineStr">
        <is>
          <t>T</t>
        </is>
      </c>
      <c r="H7" t="inlineStr">
        <is>
          <t>F</t>
        </is>
      </c>
      <c r="I7">
        <f>IF(AND(E7="F",G7="F"),"OK",IF(AND(E7="F",G7="T"),"AR LOCKED","CLOSED+LOCKED"))</f>
        <v/>
      </c>
    </row>
    <row r="8">
      <c r="A8" t="inlineStr">
        <is>
          <t>Dec 2025</t>
        </is>
      </c>
      <c r="B8" t="n">
        <v>34</v>
      </c>
      <c r="C8" s="15" t="n">
        <v>45992</v>
      </c>
      <c r="D8" s="15" t="n">
        <v>46022</v>
      </c>
      <c r="E8" t="inlineStr">
        <is>
          <t>T</t>
        </is>
      </c>
      <c r="F8" t="inlineStr">
        <is>
          <t>T</t>
        </is>
      </c>
      <c r="G8" t="inlineStr">
        <is>
          <t>T</t>
        </is>
      </c>
      <c r="H8" t="inlineStr">
        <is>
          <t>F</t>
        </is>
      </c>
      <c r="I8">
        <f>IF(AND(E8="F",G8="F"),"OK",IF(AND(E8="F",G8="T"),"AR LOCKED","CLOSED+LOCKED"))</f>
        <v/>
      </c>
    </row>
    <row r="9">
      <c r="A9" t="inlineStr">
        <is>
          <t>Jan 2026</t>
        </is>
      </c>
      <c r="B9" t="n">
        <v>37</v>
      </c>
      <c r="C9" s="15" t="n">
        <v>46023</v>
      </c>
      <c r="D9" s="15" t="n">
        <v>46053</v>
      </c>
      <c r="E9" t="inlineStr">
        <is>
          <t>T</t>
        </is>
      </c>
      <c r="F9" t="inlineStr">
        <is>
          <t>T</t>
        </is>
      </c>
      <c r="G9" t="inlineStr">
        <is>
          <t>T</t>
        </is>
      </c>
      <c r="H9" t="inlineStr">
        <is>
          <t>T</t>
        </is>
      </c>
      <c r="I9">
        <f>IF(AND(E9="F",G9="F"),"OK",IF(AND(E9="F",G9="T"),"AR LOCKED","CLOSED+LOCKED"))</f>
        <v/>
      </c>
    </row>
    <row r="10">
      <c r="A10" t="inlineStr">
        <is>
          <t>Feb 2026</t>
        </is>
      </c>
      <c r="B10" t="n">
        <v>38</v>
      </c>
      <c r="C10" s="15" t="n">
        <v>46054</v>
      </c>
      <c r="D10" s="15" t="n">
        <v>46081</v>
      </c>
      <c r="E10" t="inlineStr">
        <is>
          <t>T</t>
        </is>
      </c>
      <c r="F10" t="inlineStr">
        <is>
          <t>T</t>
        </is>
      </c>
      <c r="G10" t="inlineStr">
        <is>
          <t>T</t>
        </is>
      </c>
      <c r="H10" t="inlineStr">
        <is>
          <t>T</t>
        </is>
      </c>
      <c r="I10">
        <f>IF(AND(E10="F",G10="F"),"OK",IF(AND(E10="F",G10="T"),"AR LOCKED","CLOSED+LOCKED"))</f>
        <v/>
      </c>
    </row>
    <row r="11">
      <c r="A11" t="inlineStr">
        <is>
          <t>Mar 2026</t>
        </is>
      </c>
      <c r="B11" t="n">
        <v>39</v>
      </c>
      <c r="C11" s="15" t="n">
        <v>46082</v>
      </c>
      <c r="D11" s="15" t="n">
        <v>46112</v>
      </c>
      <c r="E11" t="inlineStr">
        <is>
          <t>T</t>
        </is>
      </c>
      <c r="F11" t="inlineStr">
        <is>
          <t>T</t>
        </is>
      </c>
      <c r="G11" t="inlineStr">
        <is>
          <t>T</t>
        </is>
      </c>
      <c r="H11" t="inlineStr">
        <is>
          <t>F</t>
        </is>
      </c>
      <c r="I11">
        <f>IF(AND(E11="F",G11="F"),"OK",IF(AND(E11="F",G11="T"),"AR LOCKED","CLOSED+LOCKED"))</f>
        <v/>
      </c>
    </row>
    <row r="12">
      <c r="A12" t="inlineStr">
        <is>
          <t>Apr 2026</t>
        </is>
      </c>
      <c r="B12" t="n">
        <v>41</v>
      </c>
      <c r="C12" s="15" t="n">
        <v>46113</v>
      </c>
      <c r="D12" s="15" t="n">
        <v>46142</v>
      </c>
      <c r="E12" t="inlineStr">
        <is>
          <t>F</t>
        </is>
      </c>
      <c r="F12" t="inlineStr">
        <is>
          <t>T</t>
        </is>
      </c>
      <c r="G12" t="inlineStr">
        <is>
          <t>T</t>
        </is>
      </c>
      <c r="H12" t="inlineStr">
        <is>
          <t>T</t>
        </is>
      </c>
      <c r="I12">
        <f>IF(AND(E12="F",G12="F"),"OK",IF(AND(E12="F",G12="T"),"AR LOCKED","CLOSED+LOCKED"))</f>
        <v/>
      </c>
    </row>
    <row r="13">
      <c r="A13" t="inlineStr">
        <is>
          <t>May 2026</t>
        </is>
      </c>
      <c r="B13" t="n">
        <v>42</v>
      </c>
      <c r="C13" s="15" t="n">
        <v>46143</v>
      </c>
      <c r="D13" s="15" t="n">
        <v>46173</v>
      </c>
      <c r="E13" t="inlineStr">
        <is>
          <t>F</t>
        </is>
      </c>
      <c r="F13" t="inlineStr">
        <is>
          <t>F</t>
        </is>
      </c>
      <c r="G13" t="inlineStr">
        <is>
          <t>F</t>
        </is>
      </c>
      <c r="H13" t="inlineStr">
        <is>
          <t>F</t>
        </is>
      </c>
      <c r="I13">
        <f>IF(AND(E13="F",G13="F"),"OK",IF(AND(E13="F",G13="T"),"AR LOCKED","CLOSED+LOCKED"))</f>
        <v/>
      </c>
    </row>
    <row r="14">
      <c r="A14" t="inlineStr">
        <is>
          <t>Jun 2026</t>
        </is>
      </c>
      <c r="B14" t="n">
        <v>43</v>
      </c>
      <c r="C14" s="15" t="n">
        <v>46174</v>
      </c>
      <c r="D14" s="15" t="n">
        <v>46203</v>
      </c>
      <c r="E14" t="inlineStr">
        <is>
          <t>F</t>
        </is>
      </c>
      <c r="F14" t="inlineStr">
        <is>
          <t>F</t>
        </is>
      </c>
      <c r="G14" t="inlineStr">
        <is>
          <t>F</t>
        </is>
      </c>
      <c r="H14" t="inlineStr">
        <is>
          <t>F</t>
        </is>
      </c>
      <c r="I14">
        <f>IF(AND(E14="F",G14="F"),"OK",IF(AND(E14="F",G14="T"),"AR LOCKED","CLOSED+LOCKED"))</f>
        <v/>
      </c>
    </row>
    <row r="15">
      <c r="A15" t="inlineStr">
        <is>
          <t>Jul 2026</t>
        </is>
      </c>
      <c r="B15" t="n">
        <v>45</v>
      </c>
      <c r="C15" s="15" t="n">
        <v>46204</v>
      </c>
      <c r="D15" s="15" t="n">
        <v>46234</v>
      </c>
      <c r="E15" t="inlineStr">
        <is>
          <t>F</t>
        </is>
      </c>
      <c r="F15" t="inlineStr">
        <is>
          <t>F</t>
        </is>
      </c>
      <c r="G15" t="inlineStr">
        <is>
          <t>F</t>
        </is>
      </c>
      <c r="H15" t="inlineStr">
        <is>
          <t>F</t>
        </is>
      </c>
      <c r="I15">
        <f>IF(AND(E15="F",G15="F"),"OK",IF(AND(E15="F",G15="T"),"AR LOCKED","CLOSED+LOCKED"))</f>
        <v/>
      </c>
    </row>
    <row r="16">
      <c r="A16" t="inlineStr">
        <is>
          <t>Apr 2025</t>
        </is>
      </c>
      <c r="B16" t="n">
        <v>24</v>
      </c>
      <c r="C16" s="15" t="n">
        <v>45748</v>
      </c>
      <c r="D16" s="15" t="n">
        <v>45777</v>
      </c>
      <c r="E16" t="inlineStr">
        <is>
          <t>T</t>
        </is>
      </c>
      <c r="F16" t="inlineStr">
        <is>
          <t>T</t>
        </is>
      </c>
      <c r="G16" t="inlineStr">
        <is>
          <t>T</t>
        </is>
      </c>
      <c r="H16" t="inlineStr">
        <is>
          <t>F</t>
        </is>
      </c>
      <c r="I16">
        <f>IF(AND(E16="F",G16="F"),"OK",IF(AND(E16="F",G16="T"),"AR LOCKED","CLOSED+LOCKED"))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45" customWidth="1" min="3" max="3"/>
    <col width="30" customWidth="1" min="4" max="4"/>
    <col width="60" customWidth="1" min="5" max="5"/>
  </cols>
  <sheetData>
    <row r="1" ht="30" customHeight="1">
      <c r="A1" s="14" t="inlineStr">
        <is>
          <t>Tier</t>
        </is>
      </c>
      <c r="B1" s="14" t="inlineStr">
        <is>
          <t>Source Note (from accounting)</t>
        </is>
      </c>
      <c r="C1" s="14" t="inlineStr">
        <is>
          <t>Condition (vs NetSuite data)</t>
        </is>
      </c>
      <c r="D1" s="14" t="inlineStr">
        <is>
          <t>Tax Removal Applicable?</t>
        </is>
      </c>
      <c r="E1" s="14" t="inlineStr">
        <is>
          <t>Recommended Action</t>
        </is>
      </c>
    </row>
    <row r="2" ht="45" customHeight="1">
      <c r="A2" s="16" t="inlineStr">
        <is>
          <t>T1_Clean</t>
        </is>
      </c>
      <c r="B2" s="16" t="inlineStr">
        <is>
          <t>Sales Tax - Received exemption certificate, will resolve shortly</t>
        </is>
      </c>
      <c r="C2" s="16" t="inlineStr">
        <is>
          <t>Tax &gt; 0 AND Unpaid == Tax (±$0.01)</t>
        </is>
      </c>
      <c r="D2" s="16" t="inlineStr">
        <is>
          <t>YES — directly applicable</t>
        </is>
      </c>
      <c r="E2" s="16" t="inlineStr">
        <is>
          <t>Edit invoice to remove tax → balance becomes $0</t>
        </is>
      </c>
    </row>
    <row r="3" ht="45" customHeight="1">
      <c r="A3" s="16" t="inlineStr">
        <is>
          <t>T2_FullUnpaid</t>
        </is>
      </c>
      <c r="B3" s="16" t="inlineStr">
        <is>
          <t>Multiple (current / within 30 / exemption cert)</t>
        </is>
      </c>
      <c r="C3" s="16" t="inlineStr">
        <is>
          <t>Tax &gt; 0 AND Paid = $0 AND Unpaid = Original</t>
        </is>
      </c>
      <c r="D3" s="16" t="inlineStr">
        <is>
          <t>PENDING — awaiting payment decision</t>
        </is>
      </c>
      <c r="E3" s="16" t="inlineStr">
        <is>
          <t>Hold for accounting decision: remove now (since exempt) or wait for payment</t>
        </is>
      </c>
    </row>
    <row r="4" ht="45" customHeight="1">
      <c r="A4" s="16" t="inlineStr">
        <is>
          <t>T3_Mismatch</t>
        </is>
      </c>
      <c r="B4" s="16" t="inlineStr">
        <is>
          <t>Multiple</t>
        </is>
      </c>
      <c r="C4" s="16" t="inlineStr">
        <is>
          <t>Tax &gt; 0 AND Paid &gt; 0 AND Unpaid ≠ Tax</t>
        </is>
      </c>
      <c r="D4" s="16" t="inlineStr">
        <is>
          <t>INVESTIGATE — manual review needed</t>
        </is>
      </c>
      <c r="E4" s="16" t="inlineStr">
        <is>
          <t>Investigate payment application in NetSuite before any change</t>
        </is>
      </c>
    </row>
    <row r="5" ht="45" customHeight="1">
      <c r="A5" s="16" t="inlineStr">
        <is>
          <t>T0_NoTax</t>
        </is>
      </c>
      <c r="B5" s="16" t="inlineStr">
        <is>
          <t>Various</t>
        </is>
      </c>
      <c r="C5" s="16" t="inlineStr">
        <is>
          <t>Tax = 0 on invoice</t>
        </is>
      </c>
      <c r="D5" s="16" t="inlineStr">
        <is>
          <t>NO — nothing to remove</t>
        </is>
      </c>
      <c r="E5" s="16" t="inlineStr">
        <is>
          <t>Flag back to accounting — different issue (likely collection)</t>
        </is>
      </c>
    </row>
    <row r="6" ht="45" customHeight="1">
      <c r="A6" s="16" t="inlineStr">
        <is>
          <t>CM_Pending</t>
        </is>
      </c>
      <c r="B6" s="16" t="inlineStr">
        <is>
          <t>Please let us know what invoice you would like this applied to</t>
        </is>
      </c>
      <c r="C6" s="16" t="inlineStr">
        <is>
          <t>Type = CustCred, no application</t>
        </is>
      </c>
      <c r="D6" s="16" t="inlineStr">
        <is>
          <t>N/A — credit memo</t>
        </is>
      </c>
      <c r="E6" s="16" t="inlineStr">
        <is>
          <t>Get application instruction from accounting</t>
        </is>
      </c>
    </row>
    <row r="7" ht="45" customHeight="1">
      <c r="A7" s="16" t="inlineStr">
        <is>
          <t>CM_Recent</t>
        </is>
      </c>
      <c r="B7" s="16" t="inlineStr">
        <is>
          <t>Recently issued, copies are included in email</t>
        </is>
      </c>
      <c r="C7" s="16" t="inlineStr">
        <is>
          <t>Type = CustCred, recently issued</t>
        </is>
      </c>
      <c r="D7" s="16" t="inlineStr">
        <is>
          <t>N/A — credit memo</t>
        </is>
      </c>
      <c r="E7" s="16" t="inlineStr">
        <is>
          <t>Informational; apply per accounting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2026-06-19T19:50:38Z</dcterms:created>
  <dcterms:modified xsi:type="dcterms:W3CDTF">2026-06-19T19:50:38Z</dcterms:modified>
</cp:coreProperties>
</file>